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ison\Desktop\Happy Assignment\"/>
    </mc:Choice>
  </mc:AlternateContent>
  <xr:revisionPtr revIDLastSave="0" documentId="13_ncr:1_{1F927B3E-477D-4C0F-8E3A-0DAFB723C321}" xr6:coauthVersionLast="47" xr6:coauthVersionMax="47" xr10:uidLastSave="{00000000-0000-0000-0000-000000000000}"/>
  <bookViews>
    <workbookView xWindow="-110" yWindow="-110" windowWidth="19420" windowHeight="10560" activeTab="3" xr2:uid="{FB4A1ACC-A6D8-48FC-9749-55D44F2F428D}"/>
  </bookViews>
  <sheets>
    <sheet name="Data" sheetId="2" r:id="rId1"/>
    <sheet name="VLookup" sheetId="3" r:id="rId2"/>
    <sheet name="Index-Match" sheetId="4" r:id="rId3"/>
    <sheet name="Pivot Table" sheetId="7" r:id="rId4"/>
    <sheet name="Modeling" sheetId="6" r:id="rId5"/>
  </sheets>
  <definedNames>
    <definedName name="_xlnm._FilterDatabase" localSheetId="0" hidden="1">Data!$A$1:$J$108</definedName>
    <definedName name="SALES">#REF!</definedName>
  </definedNames>
  <calcPr calcId="191029"/>
  <pivotCaches>
    <pivotCache cacheId="50" r:id="rId6"/>
    <pivotCache cacheId="56" r:id="rId7"/>
    <pivotCache cacheId="77" r:id="rId8"/>
    <pivotCache cacheId="80" r:id="rId9"/>
    <pivotCache cacheId="86" r:id="rId10"/>
    <pivotCache cacheId="105" r:id="rId11"/>
    <pivotCache cacheId="11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b952eea8-5881-4b45-953e-3875a7709fb0" name="Fact_Sales" connection="Query - Fact_Sales"/>
          <x15:modelTable id="Dim_Distributor_a4563463-3d67-4ab7-9171-d1325f3d8998" name="Dim_Distributor" connection="Query - Dim_Distributor"/>
          <x15:modelTable id="Dim_Product_d45c6854-c2ae-4be0-969d-a8cdba5d86ac" name="Dim_Product" connection="Query - Dim_Product"/>
          <x15:modelTable id="Dim_Channel_99c026e1-8199-40a3-a89d-e49fdcb341c1" name="Dim_Channel" connection="Query - Dim_Channel"/>
          <x15:modelTable id="Dim_Date_730c1bb1-2d47-461e-a720-054437d40f92" name="Dim_Date" connection="Query - Dim_Date"/>
        </x15:modelTables>
        <x15:modelRelationships>
          <x15:modelRelationship fromTable="Fact_Sales" fromColumn="Distributor ID" toTable="Dim_Distributor" toColumn="Distributor ID"/>
          <x15:modelRelationship fromTable="Fact_Sales" fromColumn="Product Code" toTable="Dim_Product" toColumn="Product Code"/>
          <x15:modelRelationship fromTable="Fact_Sales" fromColumn="Sales Channel" toTable="Dim_Channel" toColumn="Sales Channel"/>
          <x15:modelRelationship fromTable="Fact_Sales" fromColumn="Date Sold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8" i="6" l="1"/>
  <c r="G108" i="6"/>
  <c r="J107" i="6"/>
  <c r="G107" i="6"/>
  <c r="J106" i="6"/>
  <c r="G106" i="6"/>
  <c r="J105" i="6"/>
  <c r="G105" i="6"/>
  <c r="J104" i="6"/>
  <c r="G104" i="6"/>
  <c r="J103" i="6"/>
  <c r="G103" i="6"/>
  <c r="J102" i="6"/>
  <c r="G102" i="6"/>
  <c r="J101" i="6"/>
  <c r="G101" i="6"/>
  <c r="J100" i="6"/>
  <c r="G100" i="6"/>
  <c r="J99" i="6"/>
  <c r="G99" i="6"/>
  <c r="J98" i="6"/>
  <c r="G98" i="6"/>
  <c r="J97" i="6"/>
  <c r="G97" i="6"/>
  <c r="J96" i="6"/>
  <c r="G96" i="6"/>
  <c r="J95" i="6"/>
  <c r="G95" i="6"/>
  <c r="J94" i="6"/>
  <c r="G94" i="6"/>
  <c r="J93" i="6"/>
  <c r="G93" i="6"/>
  <c r="J92" i="6"/>
  <c r="G92" i="6"/>
  <c r="J91" i="6"/>
  <c r="G91" i="6"/>
  <c r="J90" i="6"/>
  <c r="G90" i="6"/>
  <c r="J89" i="6"/>
  <c r="G89" i="6"/>
  <c r="J88" i="6"/>
  <c r="G88" i="6"/>
  <c r="J87" i="6"/>
  <c r="G87" i="6"/>
  <c r="J86" i="6"/>
  <c r="G86" i="6"/>
  <c r="J85" i="6"/>
  <c r="G85" i="6"/>
  <c r="J84" i="6"/>
  <c r="G84" i="6"/>
  <c r="J83" i="6"/>
  <c r="G83" i="6"/>
  <c r="J82" i="6"/>
  <c r="G82" i="6"/>
  <c r="J81" i="6"/>
  <c r="G81" i="6"/>
  <c r="J80" i="6"/>
  <c r="G80" i="6"/>
  <c r="J79" i="6"/>
  <c r="G79" i="6"/>
  <c r="J78" i="6"/>
  <c r="G78" i="6"/>
  <c r="J77" i="6"/>
  <c r="G77" i="6"/>
  <c r="J76" i="6"/>
  <c r="G76" i="6"/>
  <c r="J75" i="6"/>
  <c r="G75" i="6"/>
  <c r="J74" i="6"/>
  <c r="G74" i="6"/>
  <c r="J73" i="6"/>
  <c r="G73" i="6"/>
  <c r="J72" i="6"/>
  <c r="G72" i="6"/>
  <c r="J71" i="6"/>
  <c r="G71" i="6"/>
  <c r="J70" i="6"/>
  <c r="G70" i="6"/>
  <c r="J69" i="6"/>
  <c r="G69" i="6"/>
  <c r="J68" i="6"/>
  <c r="G68" i="6"/>
  <c r="J67" i="6"/>
  <c r="G67" i="6"/>
  <c r="J66" i="6"/>
  <c r="G66" i="6"/>
  <c r="J65" i="6"/>
  <c r="G65" i="6"/>
  <c r="J64" i="6"/>
  <c r="G64" i="6"/>
  <c r="J63" i="6"/>
  <c r="G63" i="6"/>
  <c r="J62" i="6"/>
  <c r="G62" i="6"/>
  <c r="J61" i="6"/>
  <c r="G61" i="6"/>
  <c r="J60" i="6"/>
  <c r="G60" i="6"/>
  <c r="J59" i="6"/>
  <c r="G59" i="6"/>
  <c r="J58" i="6"/>
  <c r="G58" i="6"/>
  <c r="J57" i="6"/>
  <c r="G57" i="6"/>
  <c r="J56" i="6"/>
  <c r="G56" i="6"/>
  <c r="J55" i="6"/>
  <c r="G55" i="6"/>
  <c r="J54" i="6"/>
  <c r="G54" i="6"/>
  <c r="J53" i="6"/>
  <c r="G53" i="6"/>
  <c r="J52" i="6"/>
  <c r="G52" i="6"/>
  <c r="J51" i="6"/>
  <c r="G51" i="6"/>
  <c r="J50" i="6"/>
  <c r="G50" i="6"/>
  <c r="J49" i="6"/>
  <c r="J48" i="6"/>
  <c r="G48" i="6"/>
  <c r="J47" i="6"/>
  <c r="G47" i="6"/>
  <c r="J46" i="6"/>
  <c r="G46" i="6"/>
  <c r="J45" i="6"/>
  <c r="G45" i="6"/>
  <c r="J44" i="6"/>
  <c r="G44" i="6"/>
  <c r="J43" i="6"/>
  <c r="G43" i="6"/>
  <c r="J42" i="6"/>
  <c r="G42" i="6"/>
  <c r="J41" i="6"/>
  <c r="G41" i="6"/>
  <c r="J40" i="6"/>
  <c r="G40" i="6"/>
  <c r="J39" i="6"/>
  <c r="G39" i="6"/>
  <c r="J38" i="6"/>
  <c r="G38" i="6"/>
  <c r="J37" i="6"/>
  <c r="G37" i="6"/>
  <c r="J36" i="6"/>
  <c r="G36" i="6"/>
  <c r="J35" i="6"/>
  <c r="G35" i="6"/>
  <c r="J34" i="6"/>
  <c r="G34" i="6"/>
  <c r="J33" i="6"/>
  <c r="G33" i="6"/>
  <c r="J32" i="6"/>
  <c r="G32" i="6"/>
  <c r="J31" i="6"/>
  <c r="G31" i="6"/>
  <c r="J30" i="6"/>
  <c r="G30" i="6"/>
  <c r="J29" i="6"/>
  <c r="G29" i="6"/>
  <c r="J28" i="6"/>
  <c r="G28" i="6"/>
  <c r="J27" i="6"/>
  <c r="G27" i="6"/>
  <c r="J26" i="6"/>
  <c r="G26" i="6"/>
  <c r="J25" i="6"/>
  <c r="G25" i="6"/>
  <c r="J24" i="6"/>
  <c r="G24" i="6"/>
  <c r="J23" i="6"/>
  <c r="G23" i="6"/>
  <c r="J22" i="6"/>
  <c r="G22" i="6"/>
  <c r="J21" i="6"/>
  <c r="G21" i="6"/>
  <c r="J20" i="6"/>
  <c r="G20" i="6"/>
  <c r="J19" i="6"/>
  <c r="G19" i="6"/>
  <c r="J18" i="6"/>
  <c r="G18" i="6"/>
  <c r="J17" i="6"/>
  <c r="G17" i="6"/>
  <c r="J16" i="6"/>
  <c r="G16" i="6"/>
  <c r="J15" i="6"/>
  <c r="G15" i="6"/>
  <c r="J14" i="6"/>
  <c r="G14" i="6"/>
  <c r="J13" i="6"/>
  <c r="G13" i="6"/>
  <c r="J12" i="6"/>
  <c r="G12" i="6"/>
  <c r="J11" i="6"/>
  <c r="G11" i="6"/>
  <c r="J10" i="6"/>
  <c r="G10" i="6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J2" i="6"/>
  <c r="G2" i="6"/>
  <c r="G2" i="2"/>
  <c r="J2" i="2"/>
  <c r="G3" i="2"/>
  <c r="J3" i="2"/>
  <c r="G4" i="2"/>
  <c r="J4" i="2"/>
  <c r="G5" i="2"/>
  <c r="J5" i="2"/>
  <c r="Y27" i="2" s="1"/>
  <c r="G6" i="2"/>
  <c r="J6" i="2"/>
  <c r="G7" i="2"/>
  <c r="J7" i="2"/>
  <c r="Y29" i="2" s="1"/>
  <c r="G8" i="2"/>
  <c r="J8" i="2"/>
  <c r="G9" i="2"/>
  <c r="J9" i="2"/>
  <c r="Y31" i="2" s="1"/>
  <c r="G10" i="2"/>
  <c r="J10" i="2"/>
  <c r="G11" i="2"/>
  <c r="J11" i="2"/>
  <c r="G12" i="2"/>
  <c r="J12" i="2"/>
  <c r="G13" i="2"/>
  <c r="J13" i="2"/>
  <c r="G14" i="2"/>
  <c r="J14" i="2"/>
  <c r="G15" i="2"/>
  <c r="J15" i="2"/>
  <c r="G16" i="2"/>
  <c r="J16" i="2"/>
  <c r="G17" i="2"/>
  <c r="J17" i="2"/>
  <c r="G18" i="2"/>
  <c r="J18" i="2"/>
  <c r="G19" i="2"/>
  <c r="J19" i="2"/>
  <c r="G20" i="2"/>
  <c r="J20" i="2"/>
  <c r="G21" i="2"/>
  <c r="J21" i="2"/>
  <c r="G22" i="2"/>
  <c r="J22" i="2"/>
  <c r="G23" i="2"/>
  <c r="J23" i="2"/>
  <c r="G24" i="2"/>
  <c r="J24" i="2"/>
  <c r="G25" i="2"/>
  <c r="J25" i="2"/>
  <c r="G26" i="2"/>
  <c r="J26" i="2"/>
  <c r="G27" i="2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G48" i="2"/>
  <c r="J48" i="2"/>
  <c r="J49" i="2"/>
  <c r="G50" i="2"/>
  <c r="J50" i="2"/>
  <c r="G51" i="2"/>
  <c r="J51" i="2"/>
  <c r="G52" i="2"/>
  <c r="J52" i="2"/>
  <c r="G53" i="2"/>
  <c r="J53" i="2"/>
  <c r="G54" i="2"/>
  <c r="J54" i="2"/>
  <c r="G55" i="2"/>
  <c r="J55" i="2"/>
  <c r="G56" i="2"/>
  <c r="J56" i="2"/>
  <c r="G57" i="2"/>
  <c r="J57" i="2"/>
  <c r="G58" i="2"/>
  <c r="J58" i="2"/>
  <c r="G59" i="2"/>
  <c r="J59" i="2"/>
  <c r="G60" i="2"/>
  <c r="J60" i="2"/>
  <c r="G61" i="2"/>
  <c r="J61" i="2"/>
  <c r="G62" i="2"/>
  <c r="J62" i="2"/>
  <c r="G63" i="2"/>
  <c r="J63" i="2"/>
  <c r="G64" i="2"/>
  <c r="J64" i="2"/>
  <c r="G65" i="2"/>
  <c r="J65" i="2"/>
  <c r="G66" i="2"/>
  <c r="J66" i="2"/>
  <c r="G67" i="2"/>
  <c r="J67" i="2"/>
  <c r="G68" i="2"/>
  <c r="J68" i="2"/>
  <c r="G69" i="2"/>
  <c r="J69" i="2"/>
  <c r="G70" i="2"/>
  <c r="J70" i="2"/>
  <c r="G71" i="2"/>
  <c r="J71" i="2"/>
  <c r="G72" i="2"/>
  <c r="J72" i="2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J80" i="2"/>
  <c r="G81" i="2"/>
  <c r="J81" i="2"/>
  <c r="G82" i="2"/>
  <c r="J82" i="2"/>
  <c r="G83" i="2"/>
  <c r="J83" i="2"/>
  <c r="G84" i="2"/>
  <c r="J84" i="2"/>
  <c r="G85" i="2"/>
  <c r="J85" i="2"/>
  <c r="G86" i="2"/>
  <c r="J86" i="2"/>
  <c r="G87" i="2"/>
  <c r="J87" i="2"/>
  <c r="G88" i="2"/>
  <c r="J88" i="2"/>
  <c r="G89" i="2"/>
  <c r="J89" i="2"/>
  <c r="G90" i="2"/>
  <c r="J90" i="2"/>
  <c r="G91" i="2"/>
  <c r="J91" i="2"/>
  <c r="G92" i="2"/>
  <c r="J92" i="2"/>
  <c r="G93" i="2"/>
  <c r="J93" i="2"/>
  <c r="G94" i="2"/>
  <c r="J94" i="2"/>
  <c r="G95" i="2"/>
  <c r="J95" i="2"/>
  <c r="G96" i="2"/>
  <c r="J96" i="2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6" i="2"/>
  <c r="J106" i="2"/>
  <c r="G107" i="2"/>
  <c r="J107" i="2"/>
  <c r="G108" i="2"/>
  <c r="J108" i="2"/>
  <c r="C9" i="3"/>
  <c r="O43" i="2"/>
  <c r="N43" i="2"/>
  <c r="M43" i="2"/>
  <c r="N28" i="2"/>
  <c r="M28" i="2"/>
  <c r="M20" i="2"/>
  <c r="C19" i="3"/>
  <c r="M71" i="2"/>
  <c r="M69" i="2"/>
  <c r="W69" i="2"/>
  <c r="N58" i="2"/>
  <c r="N57" i="2"/>
  <c r="N56" i="2"/>
  <c r="W73" i="2"/>
  <c r="W72" i="2"/>
  <c r="W71" i="2"/>
  <c r="W70" i="2"/>
  <c r="W68" i="2"/>
  <c r="W75" i="2" s="1"/>
  <c r="X57" i="2"/>
  <c r="X56" i="2"/>
  <c r="X55" i="2"/>
  <c r="X60" i="2" s="1"/>
  <c r="W57" i="2"/>
  <c r="W56" i="2"/>
  <c r="W55" i="2"/>
  <c r="M58" i="2"/>
  <c r="M56" i="2"/>
  <c r="N48" i="2"/>
  <c r="N47" i="2"/>
  <c r="N44" i="2"/>
  <c r="M74" i="2"/>
  <c r="M73" i="2"/>
  <c r="M72" i="2"/>
  <c r="M70" i="2"/>
  <c r="Y48" i="2"/>
  <c r="Y47" i="2"/>
  <c r="Y46" i="2"/>
  <c r="Y45" i="2"/>
  <c r="Y49" i="2" s="1"/>
  <c r="Y43" i="2"/>
  <c r="Y44" i="2"/>
  <c r="Y42" i="2"/>
  <c r="X48" i="2"/>
  <c r="X47" i="2"/>
  <c r="X46" i="2"/>
  <c r="X45" i="2"/>
  <c r="X44" i="2"/>
  <c r="X43" i="2"/>
  <c r="X42" i="2"/>
  <c r="W48" i="2"/>
  <c r="W47" i="2"/>
  <c r="W46" i="2"/>
  <c r="W45" i="2"/>
  <c r="W42" i="2"/>
  <c r="W43" i="2"/>
  <c r="W44" i="2"/>
  <c r="Y32" i="2"/>
  <c r="Y30" i="2"/>
  <c r="Y28" i="2"/>
  <c r="X32" i="2"/>
  <c r="X31" i="2"/>
  <c r="X30" i="2"/>
  <c r="X29" i="2"/>
  <c r="X28" i="2"/>
  <c r="X27" i="2"/>
  <c r="W32" i="2"/>
  <c r="W31" i="2"/>
  <c r="W30" i="2"/>
  <c r="W29" i="2"/>
  <c r="W28" i="2"/>
  <c r="W27" i="2"/>
  <c r="W22" i="2"/>
  <c r="W21" i="2"/>
  <c r="W20" i="2"/>
  <c r="W19" i="2"/>
  <c r="W10" i="2"/>
  <c r="W9" i="2"/>
  <c r="M57" i="2"/>
  <c r="M49" i="2"/>
  <c r="M48" i="2"/>
  <c r="M47" i="2"/>
  <c r="M46" i="2"/>
  <c r="M45" i="2"/>
  <c r="M44" i="2"/>
  <c r="O49" i="2"/>
  <c r="O46" i="2"/>
  <c r="O45" i="2"/>
  <c r="N49" i="2"/>
  <c r="N46" i="2"/>
  <c r="N45" i="2"/>
  <c r="N33" i="2"/>
  <c r="N32" i="2"/>
  <c r="N31" i="2"/>
  <c r="N30" i="2"/>
  <c r="N29" i="2"/>
  <c r="M23" i="2"/>
  <c r="M22" i="2"/>
  <c r="M21" i="2"/>
  <c r="M29" i="2"/>
  <c r="M30" i="2"/>
  <c r="M31" i="2"/>
  <c r="M32" i="2"/>
  <c r="M33" i="2"/>
  <c r="M11" i="2"/>
  <c r="M10" i="2"/>
  <c r="E49" i="3"/>
  <c r="O44" i="2"/>
  <c r="O48" i="2"/>
  <c r="O32" i="2"/>
  <c r="O31" i="2"/>
  <c r="O29" i="2"/>
  <c r="O28" i="2"/>
  <c r="O33" i="2"/>
  <c r="O30" i="2" l="1"/>
  <c r="M76" i="2"/>
  <c r="N61" i="2"/>
  <c r="O47" i="2"/>
  <c r="O5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505DD-9A1F-4DA0-BD64-95CD88294DA2}" name="Query - Dim_Channel" description="Connection to the 'Dim_Channel' query in the workbook." type="100" refreshedVersion="7" minRefreshableVersion="5">
    <extLst>
      <ext xmlns:x15="http://schemas.microsoft.com/office/spreadsheetml/2010/11/main" uri="{DE250136-89BD-433C-8126-D09CA5730AF9}">
        <x15:connection id="7d44cecc-2228-486d-a32b-8538308b8cad"/>
      </ext>
    </extLst>
  </connection>
  <connection id="2" xr16:uid="{0FA08025-3D14-4980-AB21-B7DDFDD317CB}" name="Query - Dim_Date" description="Connection to the 'Dim_Date' query in the workbook." type="100" refreshedVersion="7" minRefreshableVersion="5">
    <extLst>
      <ext xmlns:x15="http://schemas.microsoft.com/office/spreadsheetml/2010/11/main" uri="{DE250136-89BD-433C-8126-D09CA5730AF9}">
        <x15:connection id="c5d6a8d0-34ee-4a2c-9d30-527314221cac"/>
      </ext>
    </extLst>
  </connection>
  <connection id="3" xr16:uid="{F2FDB4A3-645D-469E-9E20-EEADE5478739}" name="Query - Dim_Distributor" description="Connection to the 'Dim_Distributor' query in the workbook." type="100" refreshedVersion="7" minRefreshableVersion="5">
    <extLst>
      <ext xmlns:x15="http://schemas.microsoft.com/office/spreadsheetml/2010/11/main" uri="{DE250136-89BD-433C-8126-D09CA5730AF9}">
        <x15:connection id="57ba0aa6-0de6-48ae-8092-d21b11d86fd3"/>
      </ext>
    </extLst>
  </connection>
  <connection id="4" xr16:uid="{44C9ED84-F22D-4A9D-8D77-6907E567C90D}" name="Query - Dim_Product" description="Connection to the 'Dim_Product' query in the workbook." type="100" refreshedVersion="7" minRefreshableVersion="5">
    <extLst>
      <ext xmlns:x15="http://schemas.microsoft.com/office/spreadsheetml/2010/11/main" uri="{DE250136-89BD-433C-8126-D09CA5730AF9}">
        <x15:connection id="fb9e62e1-a28f-4cbe-a924-8431dfc15503"/>
      </ext>
    </extLst>
  </connection>
  <connection id="5" xr16:uid="{3C32513F-B97B-4075-A6FF-B2631391E253}" name="Query - Fact_Sales" description="Connection to the 'Fact_Sales' query in the workbook." type="100" refreshedVersion="7" minRefreshableVersion="5">
    <extLst>
      <ext xmlns:x15="http://schemas.microsoft.com/office/spreadsheetml/2010/11/main" uri="{DE250136-89BD-433C-8126-D09CA5730AF9}">
        <x15:connection id="6f242ba7-7aba-4313-9e05-5a3a104c8a09"/>
      </ext>
    </extLst>
  </connection>
  <connection id="6" xr16:uid="{D2A77B10-2CAB-4810-924A-FF91B6F916A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<sst xmlns="http://schemas.openxmlformats.org/spreadsheetml/2006/main" count="1099" uniqueCount="247">
  <si>
    <t>Distributor ID</t>
  </si>
  <si>
    <t>Distributor Name</t>
  </si>
  <si>
    <t>Country</t>
  </si>
  <si>
    <t>Product Code</t>
  </si>
  <si>
    <t>Sales Channel</t>
  </si>
  <si>
    <t>Date Sold</t>
  </si>
  <si>
    <t>Month Sold</t>
  </si>
  <si>
    <t>Quantity</t>
  </si>
  <si>
    <t>Unit Price</t>
  </si>
  <si>
    <t>Revenue</t>
  </si>
  <si>
    <t>Devin Abbott</t>
  </si>
  <si>
    <t>France</t>
  </si>
  <si>
    <t>SUPA105</t>
  </si>
  <si>
    <t>Online</t>
  </si>
  <si>
    <t>Aphrodite Brennan</t>
  </si>
  <si>
    <t>Malawi</t>
  </si>
  <si>
    <t>Direct</t>
  </si>
  <si>
    <t>Guinevere Key</t>
  </si>
  <si>
    <t>Colombia</t>
  </si>
  <si>
    <t>Retail</t>
  </si>
  <si>
    <t>Zahir Fields</t>
  </si>
  <si>
    <t>Canada</t>
  </si>
  <si>
    <t>Deacon Craig</t>
  </si>
  <si>
    <t>Mongolia</t>
  </si>
  <si>
    <t>Brynne Mcgowan</t>
  </si>
  <si>
    <t>Finland</t>
  </si>
  <si>
    <t>Lani Sweet</t>
  </si>
  <si>
    <t>Vanuatu</t>
  </si>
  <si>
    <t>Noble Warner</t>
  </si>
  <si>
    <t>Burkina Faso</t>
  </si>
  <si>
    <t>SUPA104</t>
  </si>
  <si>
    <t>Levi Douglas</t>
  </si>
  <si>
    <t>Tanzania, United Republic of</t>
  </si>
  <si>
    <t>DETA800</t>
  </si>
  <si>
    <t>Jelani Odonnell</t>
  </si>
  <si>
    <t>Albania</t>
  </si>
  <si>
    <t>Jared Sandoval</t>
  </si>
  <si>
    <t>Botswana</t>
  </si>
  <si>
    <t>Hiroko Acevedo</t>
  </si>
  <si>
    <t>Burundi</t>
  </si>
  <si>
    <t>Rhona Clarke</t>
  </si>
  <si>
    <t>Zimbabwe</t>
  </si>
  <si>
    <t>Tad Mack</t>
  </si>
  <si>
    <t>Iceland</t>
  </si>
  <si>
    <t>Rama Goodwin</t>
  </si>
  <si>
    <t>Tunisia</t>
  </si>
  <si>
    <t>Keaton Wolfe</t>
  </si>
  <si>
    <t>French Southern Territories</t>
  </si>
  <si>
    <t>Samuel Ayala</t>
  </si>
  <si>
    <t>Brazil</t>
  </si>
  <si>
    <t>Doris Williams</t>
  </si>
  <si>
    <t>Trinidad and Tobago</t>
  </si>
  <si>
    <t>SUPA103</t>
  </si>
  <si>
    <t>Ingrid Bush</t>
  </si>
  <si>
    <t>Montserrat</t>
  </si>
  <si>
    <t>Nell Maddox</t>
  </si>
  <si>
    <t>Azerbaijan</t>
  </si>
  <si>
    <t>Benedict Byrd</t>
  </si>
  <si>
    <t>Mauritania</t>
  </si>
  <si>
    <t>Ethan Gregory</t>
  </si>
  <si>
    <t>Tuvalu</t>
  </si>
  <si>
    <t>Ursula Mcconnell</t>
  </si>
  <si>
    <t>Hungary</t>
  </si>
  <si>
    <t>Fletcher Jimenez</t>
  </si>
  <si>
    <t>Chad</t>
  </si>
  <si>
    <t>DETA200</t>
  </si>
  <si>
    <t>Isadora Mcclure</t>
  </si>
  <si>
    <t>Indonesia</t>
  </si>
  <si>
    <t>DETA100</t>
  </si>
  <si>
    <t>Liberty Mcbride</t>
  </si>
  <si>
    <t>Fiji</t>
  </si>
  <si>
    <t>Noble Gilbert</t>
  </si>
  <si>
    <t>United States</t>
  </si>
  <si>
    <t>Maxine Gentry</t>
  </si>
  <si>
    <t>Panama</t>
  </si>
  <si>
    <t>Melinda Cobb</t>
  </si>
  <si>
    <t>Uruguay</t>
  </si>
  <si>
    <t>PURA250</t>
  </si>
  <si>
    <t>Yael Carter</t>
  </si>
  <si>
    <t>Malaysia</t>
  </si>
  <si>
    <t>Kay Buckley</t>
  </si>
  <si>
    <t>Malta</t>
  </si>
  <si>
    <t>Athena Fitzpatrick</t>
  </si>
  <si>
    <t>Reunion</t>
  </si>
  <si>
    <t>Joy Vazquez</t>
  </si>
  <si>
    <t>Korea</t>
  </si>
  <si>
    <t>Amery Frazier</t>
  </si>
  <si>
    <t>Georgia</t>
  </si>
  <si>
    <t>Buckminster Hopkins</t>
  </si>
  <si>
    <t>Sierra Leone</t>
  </si>
  <si>
    <t>PURA200</t>
  </si>
  <si>
    <t>George Best</t>
  </si>
  <si>
    <t>Western Sahara</t>
  </si>
  <si>
    <t>Maxwell Parker</t>
  </si>
  <si>
    <t>Falkland Islands (Malvinas)</t>
  </si>
  <si>
    <t>Lance Little</t>
  </si>
  <si>
    <t>Croatia</t>
  </si>
  <si>
    <t>Gwendolyn Walton</t>
  </si>
  <si>
    <t>Cuba</t>
  </si>
  <si>
    <t>SUPA102</t>
  </si>
  <si>
    <t>Isaac Wolf</t>
  </si>
  <si>
    <t>PURA500</t>
  </si>
  <si>
    <t>Celeste Pugh</t>
  </si>
  <si>
    <t>Gabon</t>
  </si>
  <si>
    <t>Oprah Ellis</t>
  </si>
  <si>
    <t>Dominican Republic</t>
  </si>
  <si>
    <t>Emerson Beard</t>
  </si>
  <si>
    <t>Niue</t>
  </si>
  <si>
    <t>Renee Padilla</t>
  </si>
  <si>
    <t>Yemen</t>
  </si>
  <si>
    <t>Maite Henson</t>
  </si>
  <si>
    <t>Bangladesh</t>
  </si>
  <si>
    <t>Ivory Chang</t>
  </si>
  <si>
    <t>Tonga</t>
  </si>
  <si>
    <t>Clark Weaver</t>
  </si>
  <si>
    <t>Palau</t>
  </si>
  <si>
    <t>Ima Cummings</t>
  </si>
  <si>
    <t>Philippines</t>
  </si>
  <si>
    <t>Adria Kaufman</t>
  </si>
  <si>
    <t>Bouvet Island</t>
  </si>
  <si>
    <t>Nyssa Quinn</t>
  </si>
  <si>
    <t>Cocos (Keeling) Islands</t>
  </si>
  <si>
    <t>Amir Alexander</t>
  </si>
  <si>
    <t>Liberia</t>
  </si>
  <si>
    <t>Imogene Bradshaw</t>
  </si>
  <si>
    <t>Niger</t>
  </si>
  <si>
    <t>Gwendolyn Mccarty</t>
  </si>
  <si>
    <t>Madagascar</t>
  </si>
  <si>
    <t>Bell Prince</t>
  </si>
  <si>
    <t>Guinea</t>
  </si>
  <si>
    <t>Katelyn Joseph</t>
  </si>
  <si>
    <t>Slovenia</t>
  </si>
  <si>
    <t>Robert Juarez</t>
  </si>
  <si>
    <t>Svalbard and Jan Mayen</t>
  </si>
  <si>
    <t>Jerry Alvarado</t>
  </si>
  <si>
    <t>Korea, Republic of</t>
  </si>
  <si>
    <t>PURA100</t>
  </si>
  <si>
    <t>India Gilbert</t>
  </si>
  <si>
    <t>Denmark</t>
  </si>
  <si>
    <t>Iliana Porter</t>
  </si>
  <si>
    <t>Poland</t>
  </si>
  <si>
    <t>Deanna Santana</t>
  </si>
  <si>
    <t>Solomon Islands</t>
  </si>
  <si>
    <t>Ivor Mclaughlin</t>
  </si>
  <si>
    <t>United States Minor Outlying Islands</t>
  </si>
  <si>
    <t>Latifah Wall</t>
  </si>
  <si>
    <t>Guadeloupe</t>
  </si>
  <si>
    <t>Anika Tillman</t>
  </si>
  <si>
    <t>Paul Duke</t>
  </si>
  <si>
    <t>Puerto Rico</t>
  </si>
  <si>
    <t>Sawyer Stokes</t>
  </si>
  <si>
    <t>Xerxes Smith</t>
  </si>
  <si>
    <t>Wanda Garza</t>
  </si>
  <si>
    <t>Kyrgyzstan</t>
  </si>
  <si>
    <t>Anjolie Hicks</t>
  </si>
  <si>
    <t>Turks and Caicos Islands</t>
  </si>
  <si>
    <t>Asher Weber</t>
  </si>
  <si>
    <t>Macedonia</t>
  </si>
  <si>
    <t>Mercedes Humphrey</t>
  </si>
  <si>
    <t>Turkey</t>
  </si>
  <si>
    <t>Hayes Rollins</t>
  </si>
  <si>
    <t>Nepal</t>
  </si>
  <si>
    <t>Josiah Yates</t>
  </si>
  <si>
    <t>Winifred Cantu</t>
  </si>
  <si>
    <t>Kazakhstan</t>
  </si>
  <si>
    <t>Germaine Kidd</t>
  </si>
  <si>
    <t>Kenyon Joyce</t>
  </si>
  <si>
    <t>Joel Rivers</t>
  </si>
  <si>
    <t>Australia</t>
  </si>
  <si>
    <t>Colby Knapp</t>
  </si>
  <si>
    <t>Pakistan</t>
  </si>
  <si>
    <t>Vance Campos</t>
  </si>
  <si>
    <t>Syrian Arab Republic</t>
  </si>
  <si>
    <t>Lael Gould</t>
  </si>
  <si>
    <t>El Salvador</t>
  </si>
  <si>
    <t>Jane Hernandez</t>
  </si>
  <si>
    <t>Dara Cunningham</t>
  </si>
  <si>
    <t>Saint Helena</t>
  </si>
  <si>
    <t>Colette Sargent</t>
  </si>
  <si>
    <t>Norfolk Island</t>
  </si>
  <si>
    <t>Shea Cortez</t>
  </si>
  <si>
    <t>India</t>
  </si>
  <si>
    <t>Cyrus Whitley</t>
  </si>
  <si>
    <t>Eleanor Hopper</t>
  </si>
  <si>
    <t>Forrest Macdonald</t>
  </si>
  <si>
    <t>New Caledonia</t>
  </si>
  <si>
    <t>Desirae Perkins</t>
  </si>
  <si>
    <t>Chile</t>
  </si>
  <si>
    <t>Barrett Mckinney</t>
  </si>
  <si>
    <t>Basil Vang</t>
  </si>
  <si>
    <t>Moldova</t>
  </si>
  <si>
    <t>Noel Key</t>
  </si>
  <si>
    <t>Gambia</t>
  </si>
  <si>
    <t>Ebony Mercer</t>
  </si>
  <si>
    <t>Cape Verde</t>
  </si>
  <si>
    <t>Isaac Cooper</t>
  </si>
  <si>
    <t>Netherlands Antilles</t>
  </si>
  <si>
    <t>James Spencer</t>
  </si>
  <si>
    <t>Clark Orr</t>
  </si>
  <si>
    <t>Phillip Perkins</t>
  </si>
  <si>
    <t>Nigeria</t>
  </si>
  <si>
    <t>Uriel Benton</t>
  </si>
  <si>
    <t>South Africa</t>
  </si>
  <si>
    <t>Aretha Patton</t>
  </si>
  <si>
    <t>Thomas Barnes</t>
  </si>
  <si>
    <t>Mayotte</t>
  </si>
  <si>
    <t>Victoria Solis</t>
  </si>
  <si>
    <t>Arsenio Knowles</t>
  </si>
  <si>
    <t>Ryder Conner</t>
  </si>
  <si>
    <t>Virgin Islands, British</t>
  </si>
  <si>
    <t>Roary Dixon</t>
  </si>
  <si>
    <t>Saudi Arabia</t>
  </si>
  <si>
    <t>Silas Battle</t>
  </si>
  <si>
    <t>Leonard Cardenas</t>
  </si>
  <si>
    <t>Brittany Burris</t>
  </si>
  <si>
    <t>Petra Mckenzie</t>
  </si>
  <si>
    <t>Morocco</t>
  </si>
  <si>
    <t>Angela Wise</t>
  </si>
  <si>
    <t>Problem 1a</t>
  </si>
  <si>
    <t>Your team has been given a list of transactions that require additional follow up.</t>
  </si>
  <si>
    <t>Identify the associated distributors below using vlookup:</t>
  </si>
  <si>
    <t>Name</t>
  </si>
  <si>
    <t>Problem 1b</t>
  </si>
  <si>
    <t>Using the Sales Data Set tab, lets pull the sales channel for each Distributor ID</t>
  </si>
  <si>
    <t>Problem 2a</t>
  </si>
  <si>
    <t>Nest V-lookup with Iferror and pull the Name associated with the Distributor ID.</t>
  </si>
  <si>
    <t>Total Revenue</t>
  </si>
  <si>
    <t>Problem 2b</t>
  </si>
  <si>
    <t>Use the Sales Data Set to pull the Unit Price for each Distributor ID.</t>
  </si>
  <si>
    <t>Average Unit Price</t>
  </si>
  <si>
    <t>Identify the associated distributors below using Index Match:</t>
  </si>
  <si>
    <t>Nest Index-Match with Iferror and pull the Name associated with the Distributor ID.</t>
  </si>
  <si>
    <t>Identify the associated distributors below using Index-Match:</t>
  </si>
  <si>
    <t>..</t>
  </si>
  <si>
    <t>Tanzania</t>
  </si>
  <si>
    <t>Grand Total</t>
  </si>
  <si>
    <t>April</t>
  </si>
  <si>
    <t>August</t>
  </si>
  <si>
    <t>December</t>
  </si>
  <si>
    <t>February</t>
  </si>
  <si>
    <t>January</t>
  </si>
  <si>
    <t>July</t>
  </si>
  <si>
    <t>June</t>
  </si>
  <si>
    <t>Month</t>
  </si>
  <si>
    <t>Total Quantity</t>
  </si>
  <si>
    <t>Month Name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</si>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</sst>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* #,##0_);_(* \(#,##0\);_(* &quot;-&quot;_);@_)"/>
    <numFmt numFmtId="166" formatCode="_(* #,##0.00_);_(* \(#,##0.00\);_(* &quot;-&quot;_);@_)"/>
  </numFmts>
  <fonts count="1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  <font>
      <sz val="10"/>
      <color theme="3"/>
      <name val="Arial"/>
      <family val="2"/>
    </font>
    <font>
      <sz val="10"/>
      <name val="Arial"/>
      <family val="2"/>
    </font>
    <font>
      <b/>
      <u/>
      <sz val="14"/>
      <color theme="3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6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3202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32020"/>
      </bottom>
      <diagonal/>
    </border>
    <border>
      <left/>
      <right/>
      <top style="thin">
        <color rgb="FFA32020"/>
      </top>
      <bottom style="thin">
        <color rgb="FFA3202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1" fillId="0" borderId="0" applyAlignment="0" applyProtection="0"/>
    <xf numFmtId="0" fontId="5" fillId="0" borderId="0"/>
    <xf numFmtId="165" fontId="3" fillId="0" borderId="0"/>
  </cellStyleXfs>
  <cellXfs count="67">
    <xf numFmtId="0" fontId="0" fillId="0" borderId="0" xfId="0"/>
    <xf numFmtId="0" fontId="6" fillId="0" borderId="0" xfId="2" applyFont="1"/>
    <xf numFmtId="0" fontId="5" fillId="0" borderId="0" xfId="3"/>
    <xf numFmtId="165" fontId="7" fillId="3" borderId="0" xfId="4" applyFont="1" applyFill="1" applyAlignment="1">
      <alignment horizontal="left" vertical="top"/>
    </xf>
    <xf numFmtId="165" fontId="3" fillId="0" borderId="0" xfId="4"/>
    <xf numFmtId="165" fontId="8" fillId="3" borderId="0" xfId="4" applyFont="1" applyFill="1" applyAlignment="1">
      <alignment horizontal="left" vertical="top"/>
    </xf>
    <xf numFmtId="0" fontId="5" fillId="3" borderId="0" xfId="3" applyFill="1" applyAlignment="1">
      <alignment horizontal="left" vertical="top"/>
    </xf>
    <xf numFmtId="165" fontId="9" fillId="3" borderId="0" xfId="4" applyFont="1" applyFill="1" applyAlignment="1">
      <alignment horizontal="left" vertical="top"/>
    </xf>
    <xf numFmtId="165" fontId="10" fillId="3" borderId="0" xfId="4" applyFont="1" applyFill="1" applyAlignment="1">
      <alignment horizontal="left" vertical="top"/>
    </xf>
    <xf numFmtId="0" fontId="10" fillId="3" borderId="0" xfId="3" applyFont="1" applyFill="1" applyAlignment="1">
      <alignment horizontal="left" vertical="top"/>
    </xf>
    <xf numFmtId="0" fontId="2" fillId="5" borderId="0" xfId="3" applyFont="1" applyFill="1" applyAlignment="1">
      <alignment horizontal="left" vertical="center"/>
    </xf>
    <xf numFmtId="0" fontId="5" fillId="3" borderId="1" xfId="3" applyFill="1" applyBorder="1" applyAlignment="1">
      <alignment horizontal="left" vertical="top"/>
    </xf>
    <xf numFmtId="0" fontId="2" fillId="5" borderId="0" xfId="3" applyFont="1" applyFill="1" applyAlignment="1">
      <alignment horizontal="left" vertical="top"/>
    </xf>
    <xf numFmtId="0" fontId="11" fillId="0" borderId="0" xfId="3" applyFont="1" applyAlignment="1">
      <alignment vertical="top" wrapText="1"/>
    </xf>
    <xf numFmtId="0" fontId="5" fillId="3" borderId="2" xfId="3" applyFill="1" applyBorder="1" applyAlignment="1">
      <alignment horizontal="left" vertical="top"/>
    </xf>
    <xf numFmtId="44" fontId="5" fillId="3" borderId="2" xfId="1" applyFont="1" applyFill="1" applyBorder="1" applyAlignment="1">
      <alignment horizontal="left" vertical="top"/>
    </xf>
    <xf numFmtId="166" fontId="2" fillId="6" borderId="3" xfId="4" applyNumberFormat="1" applyFont="1" applyFill="1" applyBorder="1" applyAlignment="1">
      <alignment horizontal="right"/>
    </xf>
    <xf numFmtId="44" fontId="8" fillId="7" borderId="3" xfId="1" applyFont="1" applyFill="1" applyBorder="1" applyAlignment="1">
      <alignment horizontal="right"/>
    </xf>
    <xf numFmtId="8" fontId="8" fillId="7" borderId="3" xfId="1" applyNumberFormat="1" applyFont="1" applyFill="1" applyBorder="1" applyAlignment="1">
      <alignment horizontal="right"/>
    </xf>
    <xf numFmtId="44" fontId="5" fillId="3" borderId="1" xfId="1" applyFont="1" applyFill="1" applyBorder="1" applyAlignment="1">
      <alignment horizontal="right" vertical="top"/>
    </xf>
    <xf numFmtId="44" fontId="5" fillId="3" borderId="1" xfId="1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/>
    <xf numFmtId="3" fontId="2" fillId="4" borderId="4" xfId="0" applyNumberFormat="1" applyFont="1" applyFill="1" applyBorder="1"/>
    <xf numFmtId="0" fontId="2" fillId="4" borderId="4" xfId="1" applyNumberFormat="1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1" fontId="4" fillId="2" borderId="4" xfId="0" applyNumberFormat="1" applyFont="1" applyFill="1" applyBorder="1" applyAlignment="1">
      <alignment horizontal="center"/>
    </xf>
    <xf numFmtId="3" fontId="4" fillId="2" borderId="4" xfId="0" applyNumberFormat="1" applyFont="1" applyFill="1" applyBorder="1"/>
    <xf numFmtId="8" fontId="4" fillId="2" borderId="4" xfId="1" applyNumberFormat="1" applyFont="1" applyFill="1" applyBorder="1" applyAlignment="1">
      <alignment horizontal="right"/>
    </xf>
    <xf numFmtId="164" fontId="5" fillId="2" borderId="4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4" fontId="4" fillId="0" borderId="4" xfId="0" applyNumberFormat="1" applyFont="1" applyBorder="1" applyAlignment="1">
      <alignment horizontal="left"/>
    </xf>
    <xf numFmtId="1" fontId="4" fillId="0" borderId="4" xfId="0" applyNumberFormat="1" applyFont="1" applyBorder="1" applyAlignment="1">
      <alignment horizontal="center"/>
    </xf>
    <xf numFmtId="3" fontId="4" fillId="0" borderId="4" xfId="0" applyNumberFormat="1" applyFont="1" applyBorder="1"/>
    <xf numFmtId="8" fontId="4" fillId="0" borderId="4" xfId="1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2" fillId="5" borderId="4" xfId="3" applyFont="1" applyFill="1" applyBorder="1" applyAlignment="1">
      <alignment horizontal="left" vertical="center"/>
    </xf>
    <xf numFmtId="0" fontId="5" fillId="3" borderId="4" xfId="3" applyFill="1" applyBorder="1" applyAlignment="1">
      <alignment horizontal="left" vertical="top"/>
    </xf>
    <xf numFmtId="0" fontId="2" fillId="5" borderId="4" xfId="3" applyFont="1" applyFill="1" applyBorder="1" applyAlignment="1">
      <alignment horizontal="left" vertical="top"/>
    </xf>
    <xf numFmtId="44" fontId="5" fillId="3" borderId="4" xfId="1" applyFont="1" applyFill="1" applyBorder="1" applyAlignment="1">
      <alignment horizontal="left" vertical="top"/>
    </xf>
    <xf numFmtId="165" fontId="3" fillId="0" borderId="4" xfId="4" applyBorder="1"/>
    <xf numFmtId="166" fontId="2" fillId="6" borderId="4" xfId="4" applyNumberFormat="1" applyFont="1" applyFill="1" applyBorder="1" applyAlignment="1">
      <alignment horizontal="right"/>
    </xf>
    <xf numFmtId="44" fontId="8" fillId="7" borderId="4" xfId="1" applyFont="1" applyFill="1" applyBorder="1" applyAlignment="1">
      <alignment horizontal="right"/>
    </xf>
    <xf numFmtId="44" fontId="5" fillId="3" borderId="4" xfId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/>
    <xf numFmtId="3" fontId="2" fillId="4" borderId="8" xfId="0" applyNumberFormat="1" applyFont="1" applyFill="1" applyBorder="1"/>
    <xf numFmtId="0" fontId="2" fillId="4" borderId="8" xfId="1" applyNumberFormat="1" applyFont="1" applyFill="1" applyBorder="1"/>
    <xf numFmtId="0" fontId="2" fillId="4" borderId="9" xfId="1" applyNumberFormat="1" applyFont="1" applyFill="1" applyBorder="1"/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14" fontId="4" fillId="2" borderId="11" xfId="0" applyNumberFormat="1" applyFont="1" applyFill="1" applyBorder="1" applyAlignment="1">
      <alignment horizontal="left"/>
    </xf>
    <xf numFmtId="1" fontId="4" fillId="2" borderId="11" xfId="0" applyNumberFormat="1" applyFont="1" applyFill="1" applyBorder="1" applyAlignment="1">
      <alignment horizontal="center"/>
    </xf>
    <xf numFmtId="3" fontId="4" fillId="2" borderId="11" xfId="0" applyNumberFormat="1" applyFont="1" applyFill="1" applyBorder="1"/>
    <xf numFmtId="8" fontId="4" fillId="2" borderId="11" xfId="1" applyNumberFormat="1" applyFont="1" applyFill="1" applyBorder="1" applyAlignment="1">
      <alignment horizontal="right"/>
    </xf>
    <xf numFmtId="164" fontId="5" fillId="2" borderId="12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5">
    <cellStyle name="Currency 2" xfId="1" xr:uid="{04433C0B-948A-4412-8194-D2B35D70B521}"/>
    <cellStyle name="Normal" xfId="0" builtinId="0"/>
    <cellStyle name="Normal 2" xfId="3" xr:uid="{F91BDA3D-F7E0-4CFA-AC84-E7461EE6F4BA}"/>
    <cellStyle name="Normal 3" xfId="4" xr:uid="{4B5AFD46-97F0-4737-938C-52E6EF348894}"/>
    <cellStyle name="Smart Title" xfId="2" xr:uid="{1B4D0B5C-D5B1-4665-9464-393964308122}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12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1501041667" backgroundQuery="1" createdVersion="7" refreshedVersion="7" minRefreshableVersion="3" recordCount="0" supportSubquery="1" supportAdvancedDrill="1" xr:uid="{C3D54706-7FAC-4B50-932D-1E6B739934D6}">
  <cacheSource type="external" connectionId="6"/>
  <cacheFields count="2">
    <cacheField name="[Dim_Date].[Month Name].[Month Name]" caption="Month Name" numFmtId="0" hierarchy="4" level="1">
      <sharedItems count="7">
        <s v="April"/>
        <s v="August"/>
        <s v="December"/>
        <s v="February"/>
        <s v="January"/>
        <s v="July"/>
        <s v="June"/>
      </sharedItems>
    </cacheField>
    <cacheField name="[Measures].[Total Revenue]" caption="Total Revenue" numFmtId="0" hierarchy="16" level="32767"/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0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1"/>
      </fieldsUsage>
    </cacheHierarchy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2136689813" backgroundQuery="1" createdVersion="7" refreshedVersion="7" minRefreshableVersion="3" recordCount="0" supportSubquery="1" supportAdvancedDrill="1" xr:uid="{72E259B4-C71D-4CBE-A644-B57B76571176}">
  <cacheSource type="external" connectionId="6"/>
  <cacheFields count="2">
    <cacheField name="[Measures].[Total Revenue]" caption="Total Revenue" numFmtId="0" hierarchy="16" level="32767"/>
    <cacheField name="[Dim_Channel].[Sales Channel].[Sales Channel]" caption="Sales Channel" numFmtId="0" level="1">
      <sharedItems count="3">
        <s v="Direct"/>
        <s v="Online"/>
        <s v="Retail"/>
      </sharedItems>
    </cacheField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2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2" memberValueDatatype="130" unbalanced="0"/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2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4220254631" backgroundQuery="1" createdVersion="7" refreshedVersion="7" minRefreshableVersion="3" recordCount="0" supportSubquery="1" supportAdvancedDrill="1" xr:uid="{487BC8C9-6927-4509-804B-5EDF5C007BD6}">
  <cacheSource type="external" connectionId="6"/>
  <cacheFields count="2">
    <cacheField name="[Dim_Distributor].[Distributor Name].[Distributor Name]" caption="Distributor Name" numFmtId="0" hierarchy="6" level="1">
      <sharedItems count="20">
        <s v="Aphrodite Brennan"/>
        <s v="Brynne Mcgowan"/>
        <s v="Deacon Craig"/>
        <s v="Devin Abbott"/>
        <s v="Doris Williams"/>
        <s v="Guinevere Key"/>
        <s v="Hiroko Acevedo"/>
        <s v="Ingrid Bush"/>
        <s v="Jared Sandoval"/>
        <s v="Jelani Odonnell"/>
        <s v="Keaton Wolfe"/>
        <s v="Lani Sweet"/>
        <s v="Levi Douglas"/>
        <s v="Nell Maddox"/>
        <s v="Noble Warner"/>
        <s v="Rama Goodwin"/>
        <s v="Rhona Clarke"/>
        <s v="Samuel Ayala"/>
        <s v="Tad Mack"/>
        <s v="Zahir Fields"/>
      </sharedItems>
    </cacheField>
    <cacheField name="[Measures].[Total Revenue]" caption="Total Revenue" numFmtId="0" hierarchy="16" level="32767"/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2" memberValueDatatype="130" unbalanced="0">
      <fieldsUsage count="2">
        <fieldUsage x="-1"/>
        <fieldUsage x="0"/>
      </fieldsUsage>
    </cacheHierarchy>
    <cacheHierarchy uniqueName="[Dim_Distributor].[Country]" caption="Country" attribute="1" defaultMemberUniqueName="[Dim_Distributor].[Country].[All]" allUniqueName="[Dim_Distributor].[Country].[All]" dimensionUniqueName="[Dim_Distributor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1"/>
      </fieldsUsage>
    </cacheHierarchy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4443171295" backgroundQuery="1" createdVersion="7" refreshedVersion="7" minRefreshableVersion="3" recordCount="0" supportSubquery="1" supportAdvancedDrill="1" xr:uid="{D9B38C7B-D205-40FE-9063-7A2BEB152458}">
  <cacheSource type="external" connectionId="6"/>
  <cacheFields count="2">
    <cacheField name="[Dim_Distributor].[Country].[Country]" caption="Country" numFmtId="0" hierarchy="7" level="1">
      <sharedItems count="20">
        <s v="Albania"/>
        <s v="Botswana"/>
        <s v="Brazil"/>
        <s v="Burkina Faso"/>
        <s v="Burundi"/>
        <s v="Canada"/>
        <s v="Colombia"/>
        <s v="Finland"/>
        <s v="France"/>
        <s v="French Southern Territories"/>
        <s v="Iceland"/>
        <s v="Malawi"/>
        <s v="Mongolia"/>
        <s v="Montserrat"/>
        <s v="Panama"/>
        <s v="Tanzania"/>
        <s v="Trinidad and Tobago"/>
        <s v="Tunisia"/>
        <s v="Vanuatu"/>
        <s v="Zimbabwe"/>
      </sharedItems>
    </cacheField>
    <cacheField name="[Measures].[Total Revenue]" caption="Total Revenue" numFmtId="0" hierarchy="16" level="32767"/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0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2" memberValueDatatype="130" unbalanced="0">
      <fieldsUsage count="2">
        <fieldUsage x="-1"/>
        <fieldUsage x="0"/>
      </fieldsUsage>
    </cacheHierarchy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1"/>
      </fieldsUsage>
    </cacheHierarchy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5113541664" backgroundQuery="1" createdVersion="7" refreshedVersion="7" minRefreshableVersion="3" recordCount="0" supportSubquery="1" supportAdvancedDrill="1" xr:uid="{978CB7EC-7DE7-485C-AE40-14EFB0958F30}">
  <cacheSource type="external" connectionId="6"/>
  <cacheFields count="4">
    <cacheField name="[Measures].[Total Revenue]" caption="Total Revenue" numFmtId="0" hierarchy="16" level="32767"/>
    <cacheField name="[Dim_Channel].[Sales Channel].[Sales Channel]" caption="Sales Channel" numFmtId="0" level="1">
      <sharedItems count="3">
        <s v="Direct"/>
        <s v="Online"/>
        <s v="Retail"/>
      </sharedItems>
    </cacheField>
    <cacheField name="[Dim_Date].[Month Name].[Month Name]" caption="Month Name" numFmtId="0" hierarchy="4" level="1">
      <sharedItems count="7">
        <s v="April"/>
        <s v="August"/>
        <s v="December"/>
        <s v="February"/>
        <s v="January"/>
        <s v="July"/>
        <s v="June"/>
      </sharedItems>
    </cacheField>
    <cacheField name="[Measures].[Total Quantity]" caption="Total Quantity" numFmtId="0" hierarchy="17" level="32767"/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2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2"/>
      </fieldsUsage>
    </cacheHierarchy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2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2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Quantity]" caption="Total Quantity" measure="1" displayFolder="" measureGroup="Fact_Sales" count="0" oneField="1">
      <fieldsUsage count="1">
        <fieldUsage x="3"/>
      </fieldsUsage>
    </cacheHierarchy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6875810183" backgroundQuery="1" createdVersion="7" refreshedVersion="7" minRefreshableVersion="3" recordCount="0" supportSubquery="1" supportAdvancedDrill="1" xr:uid="{EEE33DEB-B265-41F6-8B5F-3CAE433363E0}">
  <cacheSource type="external" connectionId="6"/>
  <cacheFields count="3">
    <cacheField name="[Measures].[Total Revenue]" caption="Total Revenue" numFmtId="0" hierarchy="16" level="32767"/>
    <cacheField name="[Dim_Channel].[Sales Channel].[Sales Channel]" caption="Sales Channel" numFmtId="0" level="1">
      <sharedItems count="3">
        <s v="Direct"/>
        <s v="Online"/>
        <s v="Retail"/>
      </sharedItems>
    </cacheField>
    <cacheField name="[Dim_Product].[Product Code].[Product Code]" caption="Product Code" numFmtId="0" hierarchy="8" level="1">
      <sharedItems count="11">
        <s v="DETA100"/>
        <s v="DETA200"/>
        <s v="DETA800"/>
        <s v="PURA100"/>
        <s v="PURA200"/>
        <s v="PURA250"/>
        <s v="PURA500"/>
        <s v="SUPA102"/>
        <s v="SUPA103"/>
        <s v="SUPA104"/>
        <s v="SUPA105"/>
      </sharedItems>
    </cacheField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2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2" memberValueDatatype="130" unbalanced="0"/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2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2" memberValueDatatype="130" unbalanced="0">
      <fieldsUsage count="2">
        <fieldUsage x="-1"/>
        <fieldUsage x="2"/>
      </fieldsUsage>
    </cacheHierarchy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rison" refreshedDate="46098.53786365741" backgroundQuery="1" createdVersion="7" refreshedVersion="7" minRefreshableVersion="3" recordCount="0" supportSubquery="1" supportAdvancedDrill="1" xr:uid="{EFB9B6F3-6836-42A9-9992-4237E7B7DAE9}">
  <cacheSource type="external" connectionId="6"/>
  <cacheFields count="2">
    <cacheField name="[Dim_Date].[Month Name].[Month Name]" caption="Month Name" numFmtId="0" hierarchy="4" level="1">
      <sharedItems count="7">
        <s v="April"/>
        <s v="August"/>
        <s v="December"/>
        <s v="February"/>
        <s v="January"/>
        <s v="July"/>
        <s v="June"/>
      </sharedItems>
    </cacheField>
    <cacheField name="[Measures].[Average Price]" caption="Average Price" numFmtId="0" hierarchy="18" level="32767"/>
  </cacheFields>
  <cacheHierarchies count="25">
    <cacheHierarchy uniqueName="[Dim_Channel].[Sales Channel]" caption="Sales Channel" attribute="1" defaultMemberUniqueName="[Dim_Channel].[Sales Channel].[All]" allUniqueName="[Dim_Channel].[Sales Channel].[All]" dimensionUniqueName="[Dim_Channel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defaultMemberUniqueName="[Dim_Date].[Month Number].[All]" allUniqueName="[Dim_Date].[Month Number].[All]" dimensionUniqueName="[Dim_Date]" displayFolder="" count="0" memberValueDatatype="20" unbalanced="0"/>
    <cacheHierarchy uniqueName="[Dim_Date].[Month Name]" caption="Month Name" attribut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istributor].[Distributor ID]" caption="Distributor ID" attribute="1" defaultMemberUniqueName="[Dim_Distributor].[Distributor ID].[All]" allUniqueName="[Dim_Distributor].[Distributor ID].[All]" dimensionUniqueName="[Dim_Distributor]" displayFolder="" count="0" memberValueDatatype="20" unbalanced="0"/>
    <cacheHierarchy uniqueName="[Dim_Distributor].[Distributor Name]" caption="Distributor Name" attribute="1" defaultMemberUniqueName="[Dim_Distributor].[Distributor Name].[All]" allUniqueName="[Dim_Distributor].[Distributor Name].[All]" dimensionUniqueName="[Dim_Distributor]" displayFolder="" count="0" memberValueDatatype="130" unbalanced="0"/>
    <cacheHierarchy uniqueName="[Dim_Distributor].[Country]" caption="Country" attribute="1" defaultMemberUniqueName="[Dim_Distributor].[Country].[All]" allUniqueName="[Dim_Distributor].[Country].[All]" dimensionUniqueName="[Dim_Distributor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Fact_Sales].[Distributor ID]" caption="Distributor ID" attribute="1" defaultMemberUniqueName="[Fact_Sales].[Distributor ID].[All]" allUniqueName="[Fact_Sales].[Distributor ID].[All]" dimensionUniqueName="[Fact_Sales]" displayFolder="" count="0" memberValueDatatype="20" unbalanced="0"/>
    <cacheHierarchy uniqueName="[Fact_Sales].[Product Code]" caption="Product Code" attribute="1" defaultMemberUniqueName="[Fact_Sales].[Product Code].[All]" allUniqueName="[Fact_Sales].[Product Code].[All]" dimensionUniqueName="[Fact_Sales]" displayFolder="" count="0" memberValueDatatype="130" unbalanced="0"/>
    <cacheHierarchy uniqueName="[Fact_Sales].[Sales Channel]" caption="Sales Channel" attribute="1" defaultMemberUniqueName="[Fact_Sales].[Sales Channel].[All]" allUniqueName="[Fact_Sales].[Sales Channel].[All]" dimensionUniqueName="[Fact_Sales]" displayFolder="" count="0" memberValueDatatype="130" unbalanced="0"/>
    <cacheHierarchy uniqueName="[Fact_Sales].[Date Sold]" caption="Date Sold" attribute="1" time="1" defaultMemberUniqueName="[Fact_Sales].[Date Sold].[All]" allUniqueName="[Fact_Sales].[Date Sold].[All]" dimensionUniqueName="[Fact_Sales]" displayFolder="" count="0" memberValueDatatype="7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 Price]" caption="Unit Price" attribute="1" defaultMemberUniqueName="[Fact_Sales].[Unit Price].[All]" allUniqueName="[Fact_Sales].[Unit 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Measures].[Total Revenue]" caption="Total Revenue" measure="1" displayFolder="" measureGroup="Fact_Sales" count="0"/>
    <cacheHierarchy uniqueName="[Measures].[Total Quantity]" caption="Total Quantity" measure="1" displayFolder="" measureGroup="Fact_Sales" count="0"/>
    <cacheHierarchy uniqueName="[Measures].[Average Price]" caption="Average Price" measure="1" displayFolder="" measureGroup="Fact_Sales" count="0" oneField="1">
      <fieldsUsage count="1">
        <fieldUsage x="1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Distributor]" caption="__XL_Count Dim_Distributor" measure="1" displayFolder="" measureGroup="Dim_Distributor" count="0" hidden="1"/>
    <cacheHierarchy uniqueName="[Measures].[__XL_Count Dim_Product]" caption="__XL_Count Dim_Product" measure="1" displayFolder="" measureGroup="Dim_Product" count="0" hidden="1"/>
    <cacheHierarchy uniqueName="[Measures].[__XL_Count Dim_Channel]" caption="__XL_Count Dim_Channel" measure="1" displayFolder="" measureGroup="Dim_Channel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hannel" uniqueName="[Dim_Channel]" caption="Dim_Channel"/>
    <dimension name="Dim_Date" uniqueName="[Dim_Date]" caption="Dim_Date"/>
    <dimension name="Dim_Distributor" uniqueName="[Dim_Distributor]" caption="Dim_Distributo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5">
    <measureGroup name="Dim_Channel" caption="Dim_Channel"/>
    <measureGroup name="Dim_Date" caption="Dim_Date"/>
    <measureGroup name="Dim_Distributor" caption="Dim_Distributor"/>
    <measureGroup name="Dim_Product" caption="Dim_Product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3EC4A-C0E6-47CA-8986-F26EFC9D4CB5}" name="PivotTable7" cacheId="112" applyNumberFormats="0" applyBorderFormats="0" applyFontFormats="0" applyPatternFormats="0" applyAlignmentFormats="0" applyWidthHeightFormats="1" dataCaption="Values" tag="833aa2e7-d071-4bf6-9417-5e4c4d5b09fc" updatedVersion="7" minRefreshableVersion="3" useAutoFormatting="1" itemPrintTitles="1" createdVersion="7" indent="0" outline="1" outlineData="1" multipleFieldFilters="0" rowHeaderCaption="Month">
  <location ref="F11:G19" firstHeaderRow="1" firstDataRow="1" firstDataCol="1"/>
  <pivotFields count="2">
    <pivotField axis="axisRow" allDrilled="1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7513B-0DB5-41A0-96E4-D1A127E75C8A}" name="PivotTable6" cacheId="105" applyNumberFormats="0" applyBorderFormats="0" applyFontFormats="0" applyPatternFormats="0" applyAlignmentFormats="0" applyWidthHeightFormats="1" dataCaption="Values" tag="016f04ba-a350-4485-89f4-9c7c4506f746" updatedVersion="7" minRefreshableVersion="3" useAutoFormatting="1" subtotalHiddenItems="1" itemPrintTitles="1" createdVersion="7" indent="0" outline="1" outlineData="1" multipleFieldFilters="0" rowHeaderCaption="Product Code">
  <location ref="A47:B59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2">
    <i>
      <x v="10"/>
    </i>
    <i>
      <x v="2"/>
    </i>
    <i>
      <x v="9"/>
    </i>
    <i>
      <x v="8"/>
    </i>
    <i>
      <x v="5"/>
    </i>
    <i>
      <x v="4"/>
    </i>
    <i>
      <x/>
    </i>
    <i>
      <x v="1"/>
    </i>
    <i>
      <x v="7"/>
    </i>
    <i>
      <x v="3"/>
    </i>
    <i>
      <x v="6"/>
    </i>
    <i t="grand">
      <x/>
    </i>
  </rowItems>
  <colItems count="1">
    <i/>
  </colItems>
  <dataFields count="1">
    <dataField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istributor]"/>
        <x15:activeTabTopLevelEntity name="[Dim_Date]"/>
        <x15:activeTabTopLevelEntity name="[Fact_Sales]"/>
        <x15:activeTabTopLevelEntity name="[Dim_Channel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9A7F3-76C0-4F98-ADDE-5720590E387F}" name="PivotTable5" cacheId="80" applyNumberFormats="0" applyBorderFormats="0" applyFontFormats="0" applyPatternFormats="0" applyAlignmentFormats="0" applyWidthHeightFormats="1" dataCaption="Values" tag="4e27e271-30bd-436b-a1a9-c89544b14f79" updatedVersion="7" minRefreshableVersion="3" useAutoFormatting="1" itemPrintTitles="1" createdVersion="7" indent="0" outline="1" outlineData="1" multipleFieldFilters="0" rowHeaderCaption="Country">
  <location ref="F23:G44" firstHeaderRow="1" firstDataRow="1" firstDataCol="1"/>
  <pivotFields count="2"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1">
    <i>
      <x v="8"/>
    </i>
    <i>
      <x v="11"/>
    </i>
    <i>
      <x v="5"/>
    </i>
    <i>
      <x v="3"/>
    </i>
    <i>
      <x v="6"/>
    </i>
    <i>
      <x v="12"/>
    </i>
    <i>
      <x v="7"/>
    </i>
    <i>
      <x v="14"/>
    </i>
    <i>
      <x v="18"/>
    </i>
    <i>
      <x v="15"/>
    </i>
    <i>
      <x/>
    </i>
    <i>
      <x v="4"/>
    </i>
    <i>
      <x v="1"/>
    </i>
    <i>
      <x v="19"/>
    </i>
    <i>
      <x v="10"/>
    </i>
    <i>
      <x v="17"/>
    </i>
    <i>
      <x v="9"/>
    </i>
    <i>
      <x v="2"/>
    </i>
    <i>
      <x v="16"/>
    </i>
    <i>
      <x v="13"/>
    </i>
    <i t="grand">
      <x/>
    </i>
  </rowItems>
  <colItems count="1">
    <i/>
  </colItems>
  <dataFields count="1"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20" filterVal="2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istributo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6792F-461B-4898-8168-253A30D69931}" name="PivotTable4" cacheId="86" applyNumberFormats="0" applyBorderFormats="0" applyFontFormats="0" applyPatternFormats="0" applyAlignmentFormats="0" applyWidthHeightFormats="1" dataCaption="Values" tag="5e57d090-050f-4dec-8fd3-e1731d3996c1" updatedVersion="7" minRefreshableVersion="3" useAutoFormatting="1" subtotalHiddenItems="1" itemPrintTitles="1" createdVersion="7" indent="0" outline="1" outlineData="1" multipleFieldFilters="0" rowHeaderCaption="Month Name">
  <location ref="F1:H9" firstHeaderRow="0" firstDataRow="1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istributor]"/>
        <x15:activeTabTopLevelEntity name="[Dim_Date]"/>
        <x15:activeTabTopLevelEntity name="[Fact_Sales]"/>
        <x15:activeTabTopLevelEntity name="[Dim_Chann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81BE-6BA8-4EC3-98FF-11149BC11012}" name="PivotTable3" cacheId="77" applyNumberFormats="0" applyBorderFormats="0" applyFontFormats="0" applyPatternFormats="0" applyAlignmentFormats="0" applyWidthHeightFormats="1" dataCaption="Values" tag="1cd754ce-375c-4d2e-8a47-e16175aa632c" updatedVersion="7" minRefreshableVersion="3" useAutoFormatting="1" itemPrintTitles="1" createdVersion="7" indent="0" outline="1" outlineData="1" multipleFieldFilters="0" rowHeaderCaption="Distributor Name">
  <location ref="A23:B44" firstHeaderRow="1" firstDataRow="1" firstDataCol="1"/>
  <pivotFields count="2"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1">
    <i>
      <x v="3"/>
    </i>
    <i>
      <x/>
    </i>
    <i>
      <x v="5"/>
    </i>
    <i>
      <x v="19"/>
    </i>
    <i>
      <x v="2"/>
    </i>
    <i>
      <x v="1"/>
    </i>
    <i>
      <x v="11"/>
    </i>
    <i>
      <x v="14"/>
    </i>
    <i>
      <x v="12"/>
    </i>
    <i>
      <x v="9"/>
    </i>
    <i>
      <x v="6"/>
    </i>
    <i>
      <x v="8"/>
    </i>
    <i>
      <x v="16"/>
    </i>
    <i>
      <x v="18"/>
    </i>
    <i>
      <x v="15"/>
    </i>
    <i>
      <x v="10"/>
    </i>
    <i>
      <x v="17"/>
    </i>
    <i>
      <x v="4"/>
    </i>
    <i>
      <x v="7"/>
    </i>
    <i>
      <x v="13"/>
    </i>
    <i t="grand">
      <x/>
    </i>
  </rowItems>
  <colItems count="1">
    <i/>
  </colItems>
  <dataFields count="1"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20" filterVal="2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istributo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B7BD2-CFD4-4198-BFB5-563745E040AA}" name="PivotTable2" cacheId="50" applyNumberFormats="0" applyBorderFormats="0" applyFontFormats="0" applyPatternFormats="0" applyAlignmentFormats="0" applyWidthHeightFormats="1" dataCaption="Values" tag="2a7520eb-b6b9-430f-9a1b-00673495722c" updatedVersion="7" minRefreshableVersion="3" useAutoFormatting="1" itemPrintTitles="1" createdVersion="7" indent="0" outline="1" outlineData="1" multipleFieldFilters="0" rowHeaderCaption="Month">
  <location ref="A10:B18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1"/>
    </i>
    <i>
      <x v="6"/>
    </i>
    <i>
      <x v="5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80E81-B9D9-42AE-88AA-8629D4FB970B}" name="PivotTable1" cacheId="56" applyNumberFormats="0" applyBorderFormats="0" applyFontFormats="0" applyPatternFormats="0" applyAlignmentFormats="0" applyWidthHeightFormats="1" dataCaption="Values" tag="db68cc5d-fdd3-429a-9dcf-9760a18a7d6d" updatedVersion="7" minRefreshableVersion="3" useAutoFormatting="1" itemPrintTitles="1" createdVersion="7" indent="0" outline="1" outlineData="1" multipleFieldFilters="0" rowHeaderCaption="Sales Channel">
  <location ref="A1:B5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istributor]"/>
        <x15:activeTabTopLevelEntity name="[Dim_Date]"/>
        <x15:activeTabTopLevelEntity name="[Fact_Sales]"/>
        <x15:activeTabTopLevelEntity name="[Dim_Chann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37D22-7CA6-44F5-B8A3-49B6862CD690}" name="Table2" displayName="Table2" ref="A1:J108" totalsRowShown="0" headerRowBorderDxfId="13" tableBorderDxfId="14" totalsRowBorderDxfId="12">
  <autoFilter ref="A1:J108" xr:uid="{13137D22-7CA6-44F5-B8A3-49B6862CD690}"/>
  <tableColumns count="10">
    <tableColumn id="1" xr3:uid="{C8795D19-E3BC-4A6C-AD04-B9DF8A528897}" name="Distributor ID" dataDxfId="11"/>
    <tableColumn id="2" xr3:uid="{689238E3-62A9-46C4-86F9-8F6DE7FFC9BA}" name="Distributor Name" dataDxfId="10"/>
    <tableColumn id="3" xr3:uid="{7B95C986-4F19-4E1B-A581-D9FEBFD16481}" name="Country" dataDxfId="9"/>
    <tableColumn id="4" xr3:uid="{6CC2A2C1-D72A-4FAF-8D93-E73320438456}" name="Product Code" dataDxfId="8"/>
    <tableColumn id="5" xr3:uid="{AE7CCCDF-7EE8-404E-A7B9-A3A64DE5AB68}" name="Sales Channel" dataDxfId="7"/>
    <tableColumn id="6" xr3:uid="{2F1145AA-4B84-4D71-B999-2F7FB1068DE4}" name="Date Sold" dataDxfId="6"/>
    <tableColumn id="7" xr3:uid="{3178FA8A-65CC-4A5B-9B4D-BD4C7E3B7AA0}" name="Month Sold" dataDxfId="5">
      <calculatedColumnFormula>VALUE(MONTH(F2))</calculatedColumnFormula>
    </tableColumn>
    <tableColumn id="8" xr3:uid="{3837A47F-3756-4C22-BF35-1C996157C09E}" name="Quantity" dataDxfId="4"/>
    <tableColumn id="9" xr3:uid="{18E4FAF8-EB25-4074-AF6E-01891B28DB34}" name="Unit Price" dataDxfId="3" dataCellStyle="Currency 2"/>
    <tableColumn id="10" xr3:uid="{6415A0C6-4367-403C-A2D9-B6CD7EE2BBB0}" name="Revenue" dataDxfId="2">
      <calculatedColumnFormula>I2*H2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7309-7C38-4BFA-A89F-E7CB525BBF87}">
  <sheetPr>
    <tabColor rgb="FF00B050"/>
  </sheetPr>
  <dimension ref="A1:Y108"/>
  <sheetViews>
    <sheetView showGridLines="0" topLeftCell="F1" workbookViewId="0">
      <selection activeCell="D15" sqref="D15"/>
    </sheetView>
  </sheetViews>
  <sheetFormatPr defaultRowHeight="14.5" x14ac:dyDescent="0.35"/>
  <cols>
    <col min="1" max="1" width="15" bestFit="1" customWidth="1"/>
    <col min="2" max="2" width="19" bestFit="1" customWidth="1"/>
    <col min="3" max="3" width="32" bestFit="1" customWidth="1"/>
    <col min="4" max="4" width="19" customWidth="1"/>
    <col min="5" max="5" width="18.7265625" customWidth="1"/>
    <col min="6" max="6" width="12.1796875" bestFit="1" customWidth="1"/>
    <col min="7" max="7" width="13.54296875" bestFit="1" customWidth="1"/>
    <col min="8" max="8" width="10.54296875" customWidth="1"/>
    <col min="9" max="9" width="14.26953125" customWidth="1"/>
    <col min="10" max="10" width="15.7265625" customWidth="1"/>
    <col min="13" max="14" width="14.81640625" bestFit="1" customWidth="1"/>
    <col min="15" max="15" width="10.26953125" bestFit="1" customWidth="1"/>
    <col min="23" max="23" width="14.81640625" customWidth="1"/>
    <col min="24" max="24" width="14.81640625" bestFit="1" customWidth="1"/>
    <col min="25" max="25" width="10.26953125" bestFit="1" customWidth="1"/>
  </cols>
  <sheetData>
    <row r="1" spans="1:25" ht="18.5" x14ac:dyDescent="0.4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3" t="s">
        <v>7</v>
      </c>
      <c r="I1" s="24" t="s">
        <v>8</v>
      </c>
      <c r="J1" s="24" t="s">
        <v>9</v>
      </c>
      <c r="V1" s="1" t="s">
        <v>218</v>
      </c>
      <c r="W1" s="2"/>
      <c r="X1" s="2"/>
      <c r="Y1" s="2"/>
    </row>
    <row r="2" spans="1:25" ht="18.5" x14ac:dyDescent="0.45">
      <c r="A2" s="25">
        <v>23345</v>
      </c>
      <c r="B2" s="25" t="s">
        <v>10</v>
      </c>
      <c r="C2" s="25" t="s">
        <v>11</v>
      </c>
      <c r="D2" s="25" t="s">
        <v>12</v>
      </c>
      <c r="E2" s="25" t="s">
        <v>13</v>
      </c>
      <c r="F2" s="26">
        <v>41150</v>
      </c>
      <c r="G2" s="27">
        <f>VALUE(MONTH(F2))</f>
        <v>8</v>
      </c>
      <c r="H2" s="28">
        <v>208</v>
      </c>
      <c r="I2" s="29">
        <v>14.5</v>
      </c>
      <c r="J2" s="30">
        <f>I2*H2</f>
        <v>3016</v>
      </c>
      <c r="L2" s="1" t="s">
        <v>218</v>
      </c>
      <c r="M2" s="2"/>
      <c r="N2" s="2"/>
      <c r="O2" s="2"/>
      <c r="P2" s="2"/>
      <c r="V2" s="3"/>
      <c r="W2" s="3"/>
      <c r="X2" s="3"/>
      <c r="Y2" s="2"/>
    </row>
    <row r="3" spans="1:25" x14ac:dyDescent="0.35">
      <c r="A3" s="31">
        <v>23278</v>
      </c>
      <c r="B3" s="31" t="s">
        <v>14</v>
      </c>
      <c r="C3" s="31" t="s">
        <v>15</v>
      </c>
      <c r="D3" s="31" t="s">
        <v>12</v>
      </c>
      <c r="E3" s="31" t="s">
        <v>16</v>
      </c>
      <c r="F3" s="32">
        <v>41145</v>
      </c>
      <c r="G3" s="33">
        <f>VALUE(MONTH(F3))</f>
        <v>8</v>
      </c>
      <c r="H3" s="34">
        <v>197</v>
      </c>
      <c r="I3" s="35">
        <v>14.5</v>
      </c>
      <c r="J3" s="36">
        <f>I3*H3</f>
        <v>2856.5</v>
      </c>
      <c r="L3" s="3"/>
      <c r="M3" s="3"/>
      <c r="N3" s="3"/>
      <c r="O3" s="2"/>
      <c r="P3" s="2"/>
      <c r="V3" s="4"/>
      <c r="W3" s="4"/>
      <c r="X3" s="4"/>
      <c r="Y3" s="2"/>
    </row>
    <row r="4" spans="1:25" x14ac:dyDescent="0.35">
      <c r="A4" s="25">
        <v>23303</v>
      </c>
      <c r="B4" s="25" t="s">
        <v>17</v>
      </c>
      <c r="C4" s="25" t="s">
        <v>18</v>
      </c>
      <c r="D4" s="25" t="s">
        <v>12</v>
      </c>
      <c r="E4" s="25" t="s">
        <v>19</v>
      </c>
      <c r="F4" s="26">
        <v>41138</v>
      </c>
      <c r="G4" s="27">
        <f>VALUE(MONTH(F4))</f>
        <v>8</v>
      </c>
      <c r="H4" s="28">
        <v>176</v>
      </c>
      <c r="I4" s="29">
        <v>14.5</v>
      </c>
      <c r="J4" s="30">
        <f>I4*H4</f>
        <v>2552</v>
      </c>
      <c r="L4" s="4"/>
      <c r="M4" s="4"/>
      <c r="N4" s="4"/>
      <c r="O4" s="2"/>
      <c r="P4" s="2"/>
      <c r="V4" s="4"/>
      <c r="W4" s="4"/>
      <c r="X4" s="4"/>
      <c r="Y4" s="2"/>
    </row>
    <row r="5" spans="1:25" x14ac:dyDescent="0.35">
      <c r="A5" s="31">
        <v>23353</v>
      </c>
      <c r="B5" s="31" t="s">
        <v>20</v>
      </c>
      <c r="C5" s="31" t="s">
        <v>21</v>
      </c>
      <c r="D5" s="31" t="s">
        <v>12</v>
      </c>
      <c r="E5" s="31" t="s">
        <v>16</v>
      </c>
      <c r="F5" s="32">
        <v>41070</v>
      </c>
      <c r="G5" s="33">
        <f>VALUE(MONTH(F5))</f>
        <v>6</v>
      </c>
      <c r="H5" s="34">
        <v>168</v>
      </c>
      <c r="I5" s="35">
        <v>14.5</v>
      </c>
      <c r="J5" s="36">
        <f>I5*H5</f>
        <v>2436</v>
      </c>
      <c r="L5" s="4"/>
      <c r="M5" s="4"/>
      <c r="N5" s="4"/>
      <c r="O5" s="2"/>
      <c r="P5" s="2"/>
      <c r="V5" s="5" t="s">
        <v>219</v>
      </c>
      <c r="W5" s="6"/>
      <c r="X5" s="6"/>
      <c r="Y5" s="2"/>
    </row>
    <row r="6" spans="1:25" x14ac:dyDescent="0.35">
      <c r="A6" s="25">
        <v>23289</v>
      </c>
      <c r="B6" s="25" t="s">
        <v>22</v>
      </c>
      <c r="C6" s="25" t="s">
        <v>23</v>
      </c>
      <c r="D6" s="25" t="s">
        <v>12</v>
      </c>
      <c r="E6" s="25" t="s">
        <v>19</v>
      </c>
      <c r="F6" s="26">
        <v>41123</v>
      </c>
      <c r="G6" s="27">
        <f>VALUE(MONTH(F6))</f>
        <v>8</v>
      </c>
      <c r="H6" s="28">
        <v>166</v>
      </c>
      <c r="I6" s="29">
        <v>14.5</v>
      </c>
      <c r="J6" s="30">
        <f>I6*H6</f>
        <v>2407</v>
      </c>
      <c r="L6" s="5" t="s">
        <v>219</v>
      </c>
      <c r="M6" s="6"/>
      <c r="N6" s="6"/>
      <c r="O6" s="2"/>
      <c r="P6" s="2"/>
      <c r="V6" s="5" t="s">
        <v>230</v>
      </c>
      <c r="W6" s="7"/>
      <c r="X6" s="7"/>
      <c r="Y6" s="2"/>
    </row>
    <row r="7" spans="1:25" x14ac:dyDescent="0.35">
      <c r="A7" s="31">
        <v>23378</v>
      </c>
      <c r="B7" s="31" t="s">
        <v>24</v>
      </c>
      <c r="C7" s="31" t="s">
        <v>25</v>
      </c>
      <c r="D7" s="31" t="s">
        <v>12</v>
      </c>
      <c r="E7" s="31" t="s">
        <v>13</v>
      </c>
      <c r="F7" s="32">
        <v>41078</v>
      </c>
      <c r="G7" s="33">
        <f>VALUE(MONTH(F7))</f>
        <v>6</v>
      </c>
      <c r="H7" s="34">
        <v>157</v>
      </c>
      <c r="I7" s="35">
        <v>14.5</v>
      </c>
      <c r="J7" s="36">
        <f>I7*H7</f>
        <v>2276.5</v>
      </c>
      <c r="L7" s="5" t="s">
        <v>220</v>
      </c>
      <c r="M7" s="7"/>
      <c r="N7" s="7"/>
      <c r="O7" s="2"/>
      <c r="P7" s="2"/>
      <c r="V7" s="8"/>
      <c r="W7" s="9"/>
      <c r="X7" s="9"/>
      <c r="Y7" s="2"/>
    </row>
    <row r="8" spans="1:25" x14ac:dyDescent="0.35">
      <c r="A8" s="25">
        <v>23283</v>
      </c>
      <c r="B8" s="25" t="s">
        <v>26</v>
      </c>
      <c r="C8" s="25" t="s">
        <v>27</v>
      </c>
      <c r="D8" s="25" t="s">
        <v>12</v>
      </c>
      <c r="E8" s="25" t="s">
        <v>13</v>
      </c>
      <c r="F8" s="26">
        <v>41084</v>
      </c>
      <c r="G8" s="27">
        <f>VALUE(MONTH(F8))</f>
        <v>6</v>
      </c>
      <c r="H8" s="28">
        <v>142</v>
      </c>
      <c r="I8" s="29">
        <v>14.5</v>
      </c>
      <c r="J8" s="30">
        <f>I8*H8</f>
        <v>2059</v>
      </c>
      <c r="L8" s="8"/>
      <c r="M8" s="9"/>
      <c r="N8" s="9"/>
      <c r="O8" s="2"/>
      <c r="P8" s="2"/>
      <c r="V8" s="38" t="s">
        <v>0</v>
      </c>
      <c r="W8" s="38" t="s">
        <v>221</v>
      </c>
      <c r="X8" s="2"/>
      <c r="Y8" s="2"/>
    </row>
    <row r="9" spans="1:25" x14ac:dyDescent="0.35">
      <c r="A9" s="37">
        <v>23324</v>
      </c>
      <c r="B9" s="37" t="s">
        <v>28</v>
      </c>
      <c r="C9" s="37" t="s">
        <v>29</v>
      </c>
      <c r="D9" s="37" t="s">
        <v>30</v>
      </c>
      <c r="E9" s="31" t="s">
        <v>19</v>
      </c>
      <c r="F9" s="32">
        <v>41134</v>
      </c>
      <c r="G9" s="33">
        <f>VALUE(MONTH(F9))</f>
        <v>8</v>
      </c>
      <c r="H9" s="34">
        <v>193</v>
      </c>
      <c r="I9" s="35">
        <v>9.99</v>
      </c>
      <c r="J9" s="36">
        <f>I9*H9</f>
        <v>1928.07</v>
      </c>
      <c r="L9" s="38" t="s">
        <v>0</v>
      </c>
      <c r="M9" s="38" t="s">
        <v>221</v>
      </c>
      <c r="N9" s="2"/>
      <c r="O9" s="2"/>
      <c r="P9" s="2"/>
      <c r="V9" s="39">
        <v>23265</v>
      </c>
      <c r="W9" s="39" t="str">
        <f>INDEX(B2:B108,MATCH(V9,A2:A108,0))</f>
        <v>Uriel Benton</v>
      </c>
      <c r="X9" s="2"/>
      <c r="Y9" s="2"/>
    </row>
    <row r="10" spans="1:25" x14ac:dyDescent="0.35">
      <c r="A10" s="25">
        <v>23264</v>
      </c>
      <c r="B10" s="25" t="s">
        <v>31</v>
      </c>
      <c r="C10" s="25" t="s">
        <v>32</v>
      </c>
      <c r="D10" s="25" t="s">
        <v>33</v>
      </c>
      <c r="E10" s="25" t="s">
        <v>13</v>
      </c>
      <c r="F10" s="26">
        <v>41139</v>
      </c>
      <c r="G10" s="27">
        <f>VALUE(MONTH(F10))</f>
        <v>8</v>
      </c>
      <c r="H10" s="28">
        <v>205</v>
      </c>
      <c r="I10" s="29">
        <v>9</v>
      </c>
      <c r="J10" s="30">
        <f>I10*H10</f>
        <v>1845</v>
      </c>
      <c r="L10" s="39">
        <v>23265</v>
      </c>
      <c r="M10" s="39" t="str">
        <f>VLOOKUP(L10,A2:J108,2,FALSE)</f>
        <v>Uriel Benton</v>
      </c>
      <c r="N10" s="2"/>
      <c r="O10" s="2"/>
      <c r="P10" s="2"/>
      <c r="V10" s="39">
        <v>23315</v>
      </c>
      <c r="W10" s="39" t="str">
        <f>INDEX(B2:B108,MATCH(V10,A2:A108,0))</f>
        <v>Anika Tillman</v>
      </c>
      <c r="X10" s="2"/>
      <c r="Y10" s="2"/>
    </row>
    <row r="11" spans="1:25" x14ac:dyDescent="0.35">
      <c r="A11" s="31">
        <v>23291</v>
      </c>
      <c r="B11" s="31" t="s">
        <v>34</v>
      </c>
      <c r="C11" s="31" t="s">
        <v>35</v>
      </c>
      <c r="D11" s="31" t="s">
        <v>33</v>
      </c>
      <c r="E11" s="31" t="s">
        <v>19</v>
      </c>
      <c r="F11" s="32">
        <v>41139</v>
      </c>
      <c r="G11" s="33">
        <f>VALUE(MONTH(F11))</f>
        <v>8</v>
      </c>
      <c r="H11" s="34">
        <v>199</v>
      </c>
      <c r="I11" s="35">
        <v>9</v>
      </c>
      <c r="J11" s="36">
        <f>I11*H11</f>
        <v>1791</v>
      </c>
      <c r="L11" s="39">
        <v>23315</v>
      </c>
      <c r="M11" s="39" t="str">
        <f>VLOOKUP(L11,A2:J108,2,FALSE)</f>
        <v>Anika Tillman</v>
      </c>
      <c r="N11" s="2"/>
      <c r="O11" s="2"/>
      <c r="P11" s="2"/>
      <c r="V11" s="2"/>
      <c r="W11" s="2"/>
      <c r="X11" s="2"/>
      <c r="Y11" s="2"/>
    </row>
    <row r="12" spans="1:25" x14ac:dyDescent="0.35">
      <c r="A12" s="25">
        <v>23305</v>
      </c>
      <c r="B12" s="25" t="s">
        <v>36</v>
      </c>
      <c r="C12" s="25" t="s">
        <v>37</v>
      </c>
      <c r="D12" s="25" t="s">
        <v>33</v>
      </c>
      <c r="E12" s="25" t="s">
        <v>13</v>
      </c>
      <c r="F12" s="26">
        <v>41147</v>
      </c>
      <c r="G12" s="27">
        <f>VALUE(MONTH(F12))</f>
        <v>8</v>
      </c>
      <c r="H12" s="28">
        <v>188</v>
      </c>
      <c r="I12" s="29">
        <v>9</v>
      </c>
      <c r="J12" s="30">
        <f>I12*H12</f>
        <v>1692</v>
      </c>
      <c r="L12" s="2"/>
      <c r="M12" s="2"/>
      <c r="N12" s="2"/>
      <c r="O12" s="2"/>
      <c r="P12" s="2"/>
      <c r="V12" s="2"/>
      <c r="W12" s="2"/>
      <c r="X12" s="2"/>
      <c r="Y12" s="2"/>
    </row>
    <row r="13" spans="1:25" x14ac:dyDescent="0.35">
      <c r="A13" s="31">
        <v>23350</v>
      </c>
      <c r="B13" s="31" t="s">
        <v>38</v>
      </c>
      <c r="C13" s="31" t="s">
        <v>39</v>
      </c>
      <c r="D13" s="31" t="s">
        <v>33</v>
      </c>
      <c r="E13" s="31" t="s">
        <v>13</v>
      </c>
      <c r="F13" s="32">
        <v>41085</v>
      </c>
      <c r="G13" s="33">
        <f>VALUE(MONTH(F13))</f>
        <v>6</v>
      </c>
      <c r="H13" s="34">
        <v>188</v>
      </c>
      <c r="I13" s="35">
        <v>9</v>
      </c>
      <c r="J13" s="36">
        <f>I13*H13</f>
        <v>1692</v>
      </c>
      <c r="L13" s="2"/>
      <c r="M13" s="2"/>
      <c r="N13" s="2"/>
      <c r="O13" s="2"/>
      <c r="P13" s="2"/>
      <c r="V13" s="2"/>
      <c r="W13" s="2"/>
      <c r="X13" s="2"/>
      <c r="Y13" s="2"/>
    </row>
    <row r="14" spans="1:25" ht="18.5" x14ac:dyDescent="0.45">
      <c r="A14" s="25">
        <v>23300</v>
      </c>
      <c r="B14" s="25" t="s">
        <v>40</v>
      </c>
      <c r="C14" s="25" t="s">
        <v>41</v>
      </c>
      <c r="D14" s="25" t="s">
        <v>30</v>
      </c>
      <c r="E14" s="25" t="s">
        <v>13</v>
      </c>
      <c r="F14" s="26">
        <v>40915</v>
      </c>
      <c r="G14" s="27">
        <f>VALUE(MONTH(F14))</f>
        <v>1</v>
      </c>
      <c r="H14" s="28">
        <v>167</v>
      </c>
      <c r="I14" s="29">
        <v>9.99</v>
      </c>
      <c r="J14" s="30">
        <f>I14*H14</f>
        <v>1668.33</v>
      </c>
      <c r="L14" s="2"/>
      <c r="M14" s="2"/>
      <c r="N14" s="2"/>
      <c r="O14" s="2"/>
      <c r="P14" s="2"/>
      <c r="V14" s="1" t="s">
        <v>222</v>
      </c>
      <c r="W14" s="2"/>
      <c r="X14" s="2"/>
      <c r="Y14" s="2"/>
    </row>
    <row r="15" spans="1:25" ht="18.5" x14ac:dyDescent="0.45">
      <c r="A15" s="31">
        <v>23348</v>
      </c>
      <c r="B15" s="31" t="s">
        <v>42</v>
      </c>
      <c r="C15" s="31" t="s">
        <v>43</v>
      </c>
      <c r="D15" s="31" t="s">
        <v>30</v>
      </c>
      <c r="E15" s="31" t="s">
        <v>19</v>
      </c>
      <c r="F15" s="32">
        <v>41146</v>
      </c>
      <c r="G15" s="33">
        <f>VALUE(MONTH(F15))</f>
        <v>8</v>
      </c>
      <c r="H15" s="34">
        <v>163</v>
      </c>
      <c r="I15" s="35">
        <v>9.99</v>
      </c>
      <c r="J15" s="36">
        <f>I15*H15</f>
        <v>1628.3700000000001</v>
      </c>
      <c r="L15" s="1" t="s">
        <v>222</v>
      </c>
      <c r="M15" s="2"/>
      <c r="N15" s="2"/>
      <c r="O15" s="2"/>
      <c r="P15" s="2"/>
      <c r="V15" s="1"/>
      <c r="W15" s="2"/>
      <c r="X15" s="2"/>
      <c r="Y15" s="2"/>
    </row>
    <row r="16" spans="1:25" ht="18.5" x14ac:dyDescent="0.45">
      <c r="A16" s="25">
        <v>23290</v>
      </c>
      <c r="B16" s="25" t="s">
        <v>44</v>
      </c>
      <c r="C16" s="25" t="s">
        <v>45</v>
      </c>
      <c r="D16" s="25" t="s">
        <v>33</v>
      </c>
      <c r="E16" s="25" t="s">
        <v>13</v>
      </c>
      <c r="F16" s="26">
        <v>41132</v>
      </c>
      <c r="G16" s="27">
        <f>VALUE(MONTH(F16))</f>
        <v>8</v>
      </c>
      <c r="H16" s="28">
        <v>170</v>
      </c>
      <c r="I16" s="29">
        <v>9</v>
      </c>
      <c r="J16" s="30">
        <f>I16*H16</f>
        <v>1530</v>
      </c>
      <c r="L16" s="1"/>
      <c r="M16" s="2"/>
      <c r="N16" s="2"/>
      <c r="O16" s="2"/>
      <c r="P16" s="2"/>
      <c r="V16" s="5" t="s">
        <v>223</v>
      </c>
      <c r="W16" s="2"/>
      <c r="X16" s="2"/>
      <c r="Y16" s="2"/>
    </row>
    <row r="17" spans="1:25" ht="18.5" x14ac:dyDescent="0.45">
      <c r="A17" s="31">
        <v>23328</v>
      </c>
      <c r="B17" s="31" t="s">
        <v>46</v>
      </c>
      <c r="C17" s="31" t="s">
        <v>47</v>
      </c>
      <c r="D17" s="31" t="s">
        <v>12</v>
      </c>
      <c r="E17" s="31" t="s">
        <v>19</v>
      </c>
      <c r="F17" s="32">
        <v>40923</v>
      </c>
      <c r="G17" s="33">
        <f>VALUE(MONTH(F17))</f>
        <v>1</v>
      </c>
      <c r="H17" s="34">
        <v>102</v>
      </c>
      <c r="I17" s="35">
        <v>14.5</v>
      </c>
      <c r="J17" s="36">
        <f>I17*H17</f>
        <v>1479</v>
      </c>
      <c r="L17" s="5" t="s">
        <v>223</v>
      </c>
      <c r="M17" s="2"/>
      <c r="N17" s="2"/>
      <c r="O17" s="2"/>
      <c r="P17" s="2"/>
      <c r="V17" s="1"/>
      <c r="W17" s="2"/>
      <c r="X17" s="2"/>
      <c r="Y17" s="2"/>
    </row>
    <row r="18" spans="1:25" ht="18.5" x14ac:dyDescent="0.45">
      <c r="A18" s="25">
        <v>23294</v>
      </c>
      <c r="B18" s="25" t="s">
        <v>48</v>
      </c>
      <c r="C18" s="25" t="s">
        <v>49</v>
      </c>
      <c r="D18" s="25" t="s">
        <v>33</v>
      </c>
      <c r="E18" s="25" t="s">
        <v>19</v>
      </c>
      <c r="F18" s="26">
        <v>41082</v>
      </c>
      <c r="G18" s="27">
        <f>VALUE(MONTH(F18))</f>
        <v>6</v>
      </c>
      <c r="H18" s="28">
        <v>160</v>
      </c>
      <c r="I18" s="29">
        <v>9</v>
      </c>
      <c r="J18" s="30">
        <f>I18*H18</f>
        <v>1440</v>
      </c>
      <c r="L18" s="1"/>
      <c r="M18" s="2"/>
      <c r="N18" s="2"/>
      <c r="O18" s="2"/>
      <c r="P18" s="2"/>
      <c r="V18" s="38" t="s">
        <v>0</v>
      </c>
      <c r="W18" s="38" t="s">
        <v>4</v>
      </c>
      <c r="X18" s="2"/>
      <c r="Y18" s="2"/>
    </row>
    <row r="19" spans="1:25" x14ac:dyDescent="0.35">
      <c r="A19" s="31">
        <v>23371</v>
      </c>
      <c r="B19" s="31" t="s">
        <v>50</v>
      </c>
      <c r="C19" s="31" t="s">
        <v>51</v>
      </c>
      <c r="D19" s="31" t="s">
        <v>52</v>
      </c>
      <c r="E19" s="31" t="s">
        <v>13</v>
      </c>
      <c r="F19" s="32">
        <v>41136</v>
      </c>
      <c r="G19" s="33">
        <f>VALUE(MONTH(F19))</f>
        <v>8</v>
      </c>
      <c r="H19" s="34">
        <v>204</v>
      </c>
      <c r="I19" s="35">
        <v>6.99</v>
      </c>
      <c r="J19" s="36">
        <f>I19*H19</f>
        <v>1425.96</v>
      </c>
      <c r="L19" s="38" t="s">
        <v>0</v>
      </c>
      <c r="M19" s="38" t="s">
        <v>4</v>
      </c>
      <c r="N19" s="2"/>
      <c r="O19" s="2"/>
      <c r="P19" s="2"/>
      <c r="V19" s="39">
        <v>23265</v>
      </c>
      <c r="W19" s="39" t="str">
        <f>INDEX(E2:E108,MATCH(V19,A2:A108,0))</f>
        <v>Retail</v>
      </c>
      <c r="X19" s="2"/>
      <c r="Y19" s="2"/>
    </row>
    <row r="20" spans="1:25" x14ac:dyDescent="0.35">
      <c r="A20" s="25">
        <v>23288</v>
      </c>
      <c r="B20" s="25" t="s">
        <v>53</v>
      </c>
      <c r="C20" s="25" t="s">
        <v>54</v>
      </c>
      <c r="D20" s="25" t="s">
        <v>30</v>
      </c>
      <c r="E20" s="25" t="s">
        <v>16</v>
      </c>
      <c r="F20" s="26">
        <v>41074</v>
      </c>
      <c r="G20" s="27">
        <f>VALUE(MONTH(F20))</f>
        <v>6</v>
      </c>
      <c r="H20" s="28">
        <v>141</v>
      </c>
      <c r="I20" s="29">
        <v>9.99</v>
      </c>
      <c r="J20" s="30">
        <f>I20*H20</f>
        <v>1408.59</v>
      </c>
      <c r="L20" s="39">
        <v>23265</v>
      </c>
      <c r="M20" s="39" t="str">
        <f>VLOOKUP(L20,A2:J108,5,FALSE)</f>
        <v>Retail</v>
      </c>
      <c r="N20" s="2"/>
      <c r="O20" s="2"/>
      <c r="P20" s="2"/>
      <c r="V20" s="39">
        <v>23378</v>
      </c>
      <c r="W20" s="39" t="str">
        <f>INDEX(E2:E108,MATCH(V20,A2:A108,0))</f>
        <v>Online</v>
      </c>
      <c r="X20" s="2"/>
      <c r="Y20" s="2"/>
    </row>
    <row r="21" spans="1:25" x14ac:dyDescent="0.35">
      <c r="A21" s="31">
        <v>23347</v>
      </c>
      <c r="B21" s="31" t="s">
        <v>55</v>
      </c>
      <c r="C21" s="31" t="s">
        <v>56</v>
      </c>
      <c r="D21" s="31" t="s">
        <v>33</v>
      </c>
      <c r="E21" s="31" t="s">
        <v>13</v>
      </c>
      <c r="F21" s="32">
        <v>41088</v>
      </c>
      <c r="G21" s="33">
        <f>VALUE(MONTH(F21))</f>
        <v>6</v>
      </c>
      <c r="H21" s="34">
        <v>147</v>
      </c>
      <c r="I21" s="35">
        <v>9</v>
      </c>
      <c r="J21" s="36">
        <f>I21*H21</f>
        <v>1323</v>
      </c>
      <c r="L21" s="39">
        <v>23378</v>
      </c>
      <c r="M21" s="39" t="str">
        <f>VLOOKUP(L21,A2:J108,5,FALSE)</f>
        <v>Online</v>
      </c>
      <c r="N21" s="2"/>
      <c r="O21" s="2"/>
      <c r="P21" s="2"/>
      <c r="V21" s="39">
        <v>23288</v>
      </c>
      <c r="W21" s="39" t="str">
        <f>INDEX(E2:E108,MATCH(V21,A2:A108,0))</f>
        <v>Direct</v>
      </c>
      <c r="X21" s="2"/>
      <c r="Y21" s="2"/>
    </row>
    <row r="22" spans="1:25" x14ac:dyDescent="0.35">
      <c r="A22" s="25">
        <v>23361</v>
      </c>
      <c r="B22" s="25" t="s">
        <v>57</v>
      </c>
      <c r="C22" s="25" t="s">
        <v>58</v>
      </c>
      <c r="D22" s="25" t="s">
        <v>52</v>
      </c>
      <c r="E22" s="25" t="s">
        <v>13</v>
      </c>
      <c r="F22" s="26">
        <v>40915</v>
      </c>
      <c r="G22" s="27">
        <f>VALUE(MONTH(F22))</f>
        <v>1</v>
      </c>
      <c r="H22" s="28">
        <v>184</v>
      </c>
      <c r="I22" s="29">
        <v>6.99</v>
      </c>
      <c r="J22" s="30">
        <f>I22*H22</f>
        <v>1286.1600000000001</v>
      </c>
      <c r="L22" s="39">
        <v>23288</v>
      </c>
      <c r="M22" s="39" t="str">
        <f>VLOOKUP(L22,A2:J108,5,FALSE)</f>
        <v>Direct</v>
      </c>
      <c r="N22" s="2"/>
      <c r="O22" s="2"/>
      <c r="P22" s="2"/>
      <c r="V22" s="39">
        <v>23347</v>
      </c>
      <c r="W22" s="39" t="str">
        <f>INDEX(E2:E108,MATCH(V22,A2:A108,0))</f>
        <v>Online</v>
      </c>
      <c r="X22" s="2"/>
      <c r="Y22" s="2"/>
    </row>
    <row r="23" spans="1:25" x14ac:dyDescent="0.35">
      <c r="A23" s="31">
        <v>23275</v>
      </c>
      <c r="B23" s="31" t="s">
        <v>59</v>
      </c>
      <c r="C23" s="31" t="s">
        <v>60</v>
      </c>
      <c r="D23" s="31" t="s">
        <v>33</v>
      </c>
      <c r="E23" s="31" t="s">
        <v>19</v>
      </c>
      <c r="F23" s="32">
        <v>40912</v>
      </c>
      <c r="G23" s="33">
        <f>VALUE(MONTH(F23))</f>
        <v>1</v>
      </c>
      <c r="H23" s="34">
        <v>141</v>
      </c>
      <c r="I23" s="35">
        <v>9</v>
      </c>
      <c r="J23" s="36">
        <f>I23*H23</f>
        <v>1269</v>
      </c>
      <c r="L23" s="39">
        <v>23347</v>
      </c>
      <c r="M23" s="39" t="str">
        <f>VLOOKUP(L23,A2:J108,5,FALSE)</f>
        <v>Online</v>
      </c>
      <c r="N23" s="2"/>
      <c r="O23" s="2"/>
      <c r="P23" s="2"/>
      <c r="V23" s="6"/>
      <c r="W23" s="6"/>
      <c r="X23" s="2"/>
      <c r="Y23" s="2"/>
    </row>
    <row r="24" spans="1:25" x14ac:dyDescent="0.35">
      <c r="A24" s="25">
        <v>23297</v>
      </c>
      <c r="B24" s="25" t="s">
        <v>61</v>
      </c>
      <c r="C24" s="25" t="s">
        <v>62</v>
      </c>
      <c r="D24" s="25" t="s">
        <v>33</v>
      </c>
      <c r="E24" s="25" t="s">
        <v>13</v>
      </c>
      <c r="F24" s="26">
        <v>41133</v>
      </c>
      <c r="G24" s="27">
        <f>VALUE(MONTH(F24))</f>
        <v>8</v>
      </c>
      <c r="H24" s="28">
        <v>135</v>
      </c>
      <c r="I24" s="29">
        <v>9</v>
      </c>
      <c r="J24" s="30">
        <f>I24*H24</f>
        <v>1215</v>
      </c>
      <c r="L24" s="6"/>
      <c r="M24" s="6"/>
      <c r="N24" s="2"/>
      <c r="O24" s="2"/>
      <c r="P24" s="2"/>
      <c r="V24" s="6"/>
      <c r="W24" s="6"/>
      <c r="X24" s="2"/>
      <c r="Y24" s="2"/>
    </row>
    <row r="25" spans="1:25" x14ac:dyDescent="0.35">
      <c r="A25" s="31">
        <v>23327</v>
      </c>
      <c r="B25" s="31" t="s">
        <v>63</v>
      </c>
      <c r="C25" s="31" t="s">
        <v>64</v>
      </c>
      <c r="D25" s="31" t="s">
        <v>65</v>
      </c>
      <c r="E25" s="31" t="s">
        <v>19</v>
      </c>
      <c r="F25" s="32">
        <v>40939</v>
      </c>
      <c r="G25" s="33">
        <f>VALUE(MONTH(F25))</f>
        <v>1</v>
      </c>
      <c r="H25" s="34">
        <v>176</v>
      </c>
      <c r="I25" s="35">
        <v>6.5</v>
      </c>
      <c r="J25" s="36">
        <f>I25*H25</f>
        <v>1144</v>
      </c>
      <c r="L25" s="6"/>
      <c r="M25" s="6"/>
      <c r="N25" s="2"/>
      <c r="O25" s="2"/>
      <c r="P25" s="2"/>
      <c r="V25" s="4"/>
      <c r="W25" s="4"/>
      <c r="X25" s="4"/>
      <c r="Y25" s="2"/>
    </row>
    <row r="26" spans="1:25" x14ac:dyDescent="0.35">
      <c r="A26" s="25">
        <v>23325</v>
      </c>
      <c r="B26" s="25" t="s">
        <v>66</v>
      </c>
      <c r="C26" s="25" t="s">
        <v>67</v>
      </c>
      <c r="D26" s="25" t="s">
        <v>68</v>
      </c>
      <c r="E26" s="25" t="s">
        <v>19</v>
      </c>
      <c r="F26" s="26">
        <v>41082</v>
      </c>
      <c r="G26" s="27">
        <f>VALUE(MONTH(F26))</f>
        <v>6</v>
      </c>
      <c r="H26" s="28">
        <v>184</v>
      </c>
      <c r="I26" s="29">
        <v>6</v>
      </c>
      <c r="J26" s="30">
        <f>I26*H26</f>
        <v>1104</v>
      </c>
      <c r="L26" s="4"/>
      <c r="M26" s="4"/>
      <c r="N26" s="4"/>
      <c r="O26" s="2"/>
      <c r="P26" s="2"/>
      <c r="V26" s="40" t="s">
        <v>0</v>
      </c>
      <c r="W26" s="40" t="s">
        <v>4</v>
      </c>
      <c r="X26" s="40" t="s">
        <v>7</v>
      </c>
      <c r="Y26" s="40" t="s">
        <v>9</v>
      </c>
    </row>
    <row r="27" spans="1:25" x14ac:dyDescent="0.35">
      <c r="A27" s="31">
        <v>23292</v>
      </c>
      <c r="B27" s="31" t="s">
        <v>69</v>
      </c>
      <c r="C27" s="31" t="s">
        <v>70</v>
      </c>
      <c r="D27" s="31" t="s">
        <v>12</v>
      </c>
      <c r="E27" s="31" t="s">
        <v>13</v>
      </c>
      <c r="F27" s="32">
        <v>40911</v>
      </c>
      <c r="G27" s="33">
        <f>VALUE(MONTH(F27))</f>
        <v>1</v>
      </c>
      <c r="H27" s="34">
        <v>73</v>
      </c>
      <c r="I27" s="35">
        <v>14.5</v>
      </c>
      <c r="J27" s="36">
        <f>I27*H27</f>
        <v>1058.5</v>
      </c>
      <c r="L27" s="40" t="s">
        <v>0</v>
      </c>
      <c r="M27" s="40" t="s">
        <v>4</v>
      </c>
      <c r="N27" s="40" t="s">
        <v>7</v>
      </c>
      <c r="O27" s="40" t="s">
        <v>9</v>
      </c>
      <c r="P27" s="13"/>
      <c r="V27" s="39">
        <v>23353</v>
      </c>
      <c r="W27" s="39" t="str">
        <f>INDEX(E2:E108,MATCH(V27,A2:A108,0))</f>
        <v>Direct</v>
      </c>
      <c r="X27" s="39">
        <f>INDEX(H2:H108,MATCH(V27,A2:A108,0))</f>
        <v>168</v>
      </c>
      <c r="Y27" s="39">
        <f>INDEX(J2:J108,MATCH(V27,A2:A108,0))</f>
        <v>2436</v>
      </c>
    </row>
    <row r="28" spans="1:25" x14ac:dyDescent="0.35">
      <c r="A28" s="25">
        <v>23335</v>
      </c>
      <c r="B28" s="25" t="s">
        <v>71</v>
      </c>
      <c r="C28" s="25" t="s">
        <v>72</v>
      </c>
      <c r="D28" s="25" t="s">
        <v>33</v>
      </c>
      <c r="E28" s="25" t="s">
        <v>13</v>
      </c>
      <c r="F28" s="26">
        <v>41134</v>
      </c>
      <c r="G28" s="27">
        <f>VALUE(MONTH(F28))</f>
        <v>8</v>
      </c>
      <c r="H28" s="28">
        <v>116</v>
      </c>
      <c r="I28" s="29">
        <v>9</v>
      </c>
      <c r="J28" s="30">
        <f>I28*H28</f>
        <v>1044</v>
      </c>
      <c r="L28" s="39">
        <v>23353</v>
      </c>
      <c r="M28" s="39" t="str">
        <f>VLOOKUP(L28,A2:J108,5,FALSE)</f>
        <v>Direct</v>
      </c>
      <c r="N28" s="39">
        <f>VLOOKUP(L28,A2:J108,8,FALSE)</f>
        <v>168</v>
      </c>
      <c r="O28" s="39">
        <f>VLOOKUP(L28,A2:J108,10,FALSE)</f>
        <v>2436</v>
      </c>
      <c r="P28" s="2"/>
      <c r="V28" s="39">
        <v>23289</v>
      </c>
      <c r="W28" s="39" t="str">
        <f>INDEX(E2:E108,MATCH(V28,A2:A108,0))</f>
        <v>Retail</v>
      </c>
      <c r="X28" s="39">
        <f>INDEX(H2:H108,MATCH(V28,A2:A108,0))</f>
        <v>166</v>
      </c>
      <c r="Y28" s="39">
        <f>INDEX(J2:J108,MATCH(V28,A2:A108,0))</f>
        <v>2407</v>
      </c>
    </row>
    <row r="29" spans="1:25" x14ac:dyDescent="0.35">
      <c r="A29" s="31">
        <v>23314</v>
      </c>
      <c r="B29" s="31" t="s">
        <v>73</v>
      </c>
      <c r="C29" s="31" t="s">
        <v>74</v>
      </c>
      <c r="D29" s="31" t="s">
        <v>30</v>
      </c>
      <c r="E29" s="31" t="s">
        <v>19</v>
      </c>
      <c r="F29" s="32">
        <v>41131</v>
      </c>
      <c r="G29" s="33">
        <f>VALUE(MONTH(F29))</f>
        <v>8</v>
      </c>
      <c r="H29" s="34">
        <v>95</v>
      </c>
      <c r="I29" s="35">
        <v>9.99</v>
      </c>
      <c r="J29" s="36">
        <f>I29*H29</f>
        <v>949.05000000000007</v>
      </c>
      <c r="L29" s="39">
        <v>23289</v>
      </c>
      <c r="M29" s="39" t="str">
        <f>VLOOKUP(L29,A2:J108,5,FALSE)</f>
        <v>Retail</v>
      </c>
      <c r="N29" s="39">
        <f>VLOOKUP(L29,A2:J108,8,FALSE)</f>
        <v>166</v>
      </c>
      <c r="O29" s="39">
        <f>VLOOKUP(L29,A2:J108,10,FALSE)</f>
        <v>2407</v>
      </c>
      <c r="P29" s="2"/>
      <c r="V29" s="39">
        <v>23378</v>
      </c>
      <c r="W29" s="39" t="str">
        <f>INDEX(E2:E108,MATCH(V29,A2:A108,0))</f>
        <v>Online</v>
      </c>
      <c r="X29" s="39">
        <f>INDEX(H2:H108,MATCH(V29,A2:A108,0))</f>
        <v>157</v>
      </c>
      <c r="Y29" s="39">
        <f>INDEX(J2:J108,MATCH(V29,A2:A108,0))</f>
        <v>2276.5</v>
      </c>
    </row>
    <row r="30" spans="1:25" x14ac:dyDescent="0.35">
      <c r="A30" s="25">
        <v>23329</v>
      </c>
      <c r="B30" s="25" t="s">
        <v>75</v>
      </c>
      <c r="C30" s="25" t="s">
        <v>76</v>
      </c>
      <c r="D30" s="25" t="s">
        <v>77</v>
      </c>
      <c r="E30" s="25" t="s">
        <v>19</v>
      </c>
      <c r="F30" s="26">
        <v>40931</v>
      </c>
      <c r="G30" s="27">
        <f>VALUE(MONTH(F30))</f>
        <v>1</v>
      </c>
      <c r="H30" s="28">
        <v>203</v>
      </c>
      <c r="I30" s="29">
        <v>4.5</v>
      </c>
      <c r="J30" s="30">
        <f>I30*H30</f>
        <v>913.5</v>
      </c>
      <c r="L30" s="39">
        <v>23378</v>
      </c>
      <c r="M30" s="39" t="str">
        <f>VLOOKUP(L30,A2:J108,5,FALSE)</f>
        <v>Online</v>
      </c>
      <c r="N30" s="39">
        <f>VLOOKUP(L30,A2:J108,8,FALSE)</f>
        <v>157</v>
      </c>
      <c r="O30" s="39">
        <f>VLOOKUP(L30,A2:J108,10,FALSE)</f>
        <v>2276.5</v>
      </c>
      <c r="P30" s="2"/>
      <c r="V30" s="39">
        <v>23283</v>
      </c>
      <c r="W30" s="39" t="str">
        <f>INDEX(E2:E108,MATCH(V30,A2:A108,0))</f>
        <v>Online</v>
      </c>
      <c r="X30" s="39">
        <f>INDEX(H2:H108,MATCH(V30,A2:A108,0))</f>
        <v>142</v>
      </c>
      <c r="Y30" s="39">
        <f>INDEX(J2:J108,MATCH(V30,A2:A108,0))</f>
        <v>2059</v>
      </c>
    </row>
    <row r="31" spans="1:25" x14ac:dyDescent="0.35">
      <c r="A31" s="31">
        <v>23332</v>
      </c>
      <c r="B31" s="31" t="s">
        <v>78</v>
      </c>
      <c r="C31" s="31" t="s">
        <v>79</v>
      </c>
      <c r="D31" s="31" t="s">
        <v>77</v>
      </c>
      <c r="E31" s="31" t="s">
        <v>16</v>
      </c>
      <c r="F31" s="32">
        <v>40950</v>
      </c>
      <c r="G31" s="33">
        <f>VALUE(MONTH(F31))</f>
        <v>2</v>
      </c>
      <c r="H31" s="34">
        <v>203</v>
      </c>
      <c r="I31" s="35">
        <v>4.5</v>
      </c>
      <c r="J31" s="36">
        <f>I31*H31</f>
        <v>913.5</v>
      </c>
      <c r="L31" s="39">
        <v>23283</v>
      </c>
      <c r="M31" s="39" t="str">
        <f>VLOOKUP(L31,A2:J108,5,FALSE)</f>
        <v>Online</v>
      </c>
      <c r="N31" s="39">
        <f>VLOOKUP(L31,A2:J108,8,FALSE)</f>
        <v>142</v>
      </c>
      <c r="O31" s="39">
        <f>VLOOKUP(L31,A2:J108,10,FALSE)</f>
        <v>2059</v>
      </c>
      <c r="P31" s="2"/>
      <c r="V31" s="39">
        <v>23324</v>
      </c>
      <c r="W31" s="39" t="str">
        <f>INDEX(E2:E108,MATCH(V31,A2:A108,0))</f>
        <v>Retail</v>
      </c>
      <c r="X31" s="39">
        <f>INDEX(H2:H108,MATCH(V31,A2:A108,0))</f>
        <v>193</v>
      </c>
      <c r="Y31" s="39">
        <f>INDEX(J2:J108,MATCH(V31,A2:A108,0))</f>
        <v>1928.07</v>
      </c>
    </row>
    <row r="32" spans="1:25" x14ac:dyDescent="0.35">
      <c r="A32" s="25">
        <v>23317</v>
      </c>
      <c r="B32" s="25" t="s">
        <v>80</v>
      </c>
      <c r="C32" s="25" t="s">
        <v>81</v>
      </c>
      <c r="D32" s="25" t="s">
        <v>77</v>
      </c>
      <c r="E32" s="25" t="s">
        <v>16</v>
      </c>
      <c r="F32" s="26">
        <v>40956</v>
      </c>
      <c r="G32" s="27">
        <f>VALUE(MONTH(F32))</f>
        <v>2</v>
      </c>
      <c r="H32" s="28">
        <v>196</v>
      </c>
      <c r="I32" s="29">
        <v>4.5</v>
      </c>
      <c r="J32" s="30">
        <f>I32*H32</f>
        <v>882</v>
      </c>
      <c r="L32" s="39">
        <v>23324</v>
      </c>
      <c r="M32" s="39" t="str">
        <f>VLOOKUP(L32,A2:J108,5,FALSE)</f>
        <v>Retail</v>
      </c>
      <c r="N32" s="39">
        <f>VLOOKUP(L32,A2:J108,8,FALSE)</f>
        <v>193</v>
      </c>
      <c r="O32" s="39">
        <f>VLOOKUP(L32,A2:J108,10,FALSE)</f>
        <v>1928.07</v>
      </c>
      <c r="P32" s="2"/>
      <c r="V32" s="39">
        <v>23303</v>
      </c>
      <c r="W32" s="39" t="str">
        <f>INDEX(E2:E108,MATCH(V32,A2:A108,0))</f>
        <v>Retail</v>
      </c>
      <c r="X32" s="39">
        <f>INDEX(H2:H108,MATCH(V32,A2:A108,0))</f>
        <v>176</v>
      </c>
      <c r="Y32" s="39">
        <f>INDEX(J2:J108,MATCH(V32,A2:A108,0))</f>
        <v>2552</v>
      </c>
    </row>
    <row r="33" spans="1:25" x14ac:dyDescent="0.35">
      <c r="A33" s="31">
        <v>23271</v>
      </c>
      <c r="B33" s="31" t="s">
        <v>82</v>
      </c>
      <c r="C33" s="31" t="s">
        <v>83</v>
      </c>
      <c r="D33" s="31" t="s">
        <v>52</v>
      </c>
      <c r="E33" s="31" t="s">
        <v>19</v>
      </c>
      <c r="F33" s="32">
        <v>40966</v>
      </c>
      <c r="G33" s="33">
        <f>VALUE(MONTH(F33))</f>
        <v>2</v>
      </c>
      <c r="H33" s="34">
        <v>125</v>
      </c>
      <c r="I33" s="35">
        <v>6.99</v>
      </c>
      <c r="J33" s="36">
        <f>I33*H33</f>
        <v>873.75</v>
      </c>
      <c r="L33" s="39">
        <v>23303</v>
      </c>
      <c r="M33" s="39" t="str">
        <f>VLOOKUP(L33,A2:J108,5,FALSE)</f>
        <v>Retail</v>
      </c>
      <c r="N33" s="39">
        <f>VLOOKUP(L33,A2:J108,8,FALSE)</f>
        <v>176</v>
      </c>
      <c r="O33" s="39">
        <f>VLOOKUP(L33,A2:J108,10,FALSE)</f>
        <v>2552</v>
      </c>
      <c r="P33" s="2"/>
      <c r="V33" s="2"/>
      <c r="W33" s="2"/>
      <c r="X33" s="2"/>
      <c r="Y33" s="2"/>
    </row>
    <row r="34" spans="1:25" ht="18.5" x14ac:dyDescent="0.45">
      <c r="A34" s="25">
        <v>23287</v>
      </c>
      <c r="B34" s="25" t="s">
        <v>84</v>
      </c>
      <c r="C34" s="25" t="s">
        <v>85</v>
      </c>
      <c r="D34" s="25" t="s">
        <v>77</v>
      </c>
      <c r="E34" s="25" t="s">
        <v>19</v>
      </c>
      <c r="F34" s="26">
        <v>41077</v>
      </c>
      <c r="G34" s="27">
        <f>VALUE(MONTH(F34))</f>
        <v>6</v>
      </c>
      <c r="H34" s="28">
        <v>189</v>
      </c>
      <c r="I34" s="29">
        <v>4.5</v>
      </c>
      <c r="J34" s="30">
        <f>I34*H34</f>
        <v>850.5</v>
      </c>
      <c r="L34" s="2"/>
      <c r="M34" s="2"/>
      <c r="N34" s="2"/>
      <c r="O34" s="2"/>
      <c r="P34" s="2"/>
      <c r="V34" s="1"/>
      <c r="W34" s="2"/>
      <c r="X34" s="2"/>
      <c r="Y34" s="2"/>
    </row>
    <row r="35" spans="1:25" ht="18.5" x14ac:dyDescent="0.45">
      <c r="A35" s="31">
        <v>23349</v>
      </c>
      <c r="B35" s="31" t="s">
        <v>86</v>
      </c>
      <c r="C35" s="31" t="s">
        <v>87</v>
      </c>
      <c r="D35" s="31" t="s">
        <v>65</v>
      </c>
      <c r="E35" s="31" t="s">
        <v>19</v>
      </c>
      <c r="F35" s="32">
        <v>41112</v>
      </c>
      <c r="G35" s="33">
        <f>VALUE(MONTH(F35))</f>
        <v>7</v>
      </c>
      <c r="H35" s="34">
        <v>126</v>
      </c>
      <c r="I35" s="35">
        <v>6.5</v>
      </c>
      <c r="J35" s="36">
        <f>I35*H35</f>
        <v>819</v>
      </c>
      <c r="L35" s="1"/>
      <c r="M35" s="2"/>
      <c r="N35" s="2"/>
      <c r="O35" s="2"/>
      <c r="P35" s="2"/>
      <c r="V35" s="1"/>
      <c r="W35" s="2"/>
      <c r="X35" s="2"/>
      <c r="Y35" s="2"/>
    </row>
    <row r="36" spans="1:25" ht="18.5" x14ac:dyDescent="0.45">
      <c r="A36" s="25">
        <v>23309</v>
      </c>
      <c r="B36" s="25" t="s">
        <v>88</v>
      </c>
      <c r="C36" s="25" t="s">
        <v>89</v>
      </c>
      <c r="D36" s="25" t="s">
        <v>90</v>
      </c>
      <c r="E36" s="25" t="s">
        <v>13</v>
      </c>
      <c r="F36" s="26">
        <v>41083</v>
      </c>
      <c r="G36" s="27">
        <f>VALUE(MONTH(F36))</f>
        <v>6</v>
      </c>
      <c r="H36" s="28">
        <v>201</v>
      </c>
      <c r="I36" s="29">
        <v>3.99</v>
      </c>
      <c r="J36" s="30">
        <f>I36*H36</f>
        <v>801.99</v>
      </c>
      <c r="L36" s="1"/>
      <c r="M36" s="2"/>
      <c r="N36" s="2"/>
      <c r="O36" s="2"/>
      <c r="P36" s="2"/>
      <c r="V36" s="1" t="s">
        <v>224</v>
      </c>
      <c r="W36" s="2"/>
      <c r="X36" s="2"/>
      <c r="Y36" s="2"/>
    </row>
    <row r="37" spans="1:25" ht="18.5" x14ac:dyDescent="0.45">
      <c r="A37" s="31">
        <v>23338</v>
      </c>
      <c r="B37" s="31" t="s">
        <v>91</v>
      </c>
      <c r="C37" s="31" t="s">
        <v>92</v>
      </c>
      <c r="D37" s="31" t="s">
        <v>77</v>
      </c>
      <c r="E37" s="31" t="s">
        <v>19</v>
      </c>
      <c r="F37" s="32">
        <v>41133</v>
      </c>
      <c r="G37" s="33">
        <f>VALUE(MONTH(F37))</f>
        <v>8</v>
      </c>
      <c r="H37" s="34">
        <v>178</v>
      </c>
      <c r="I37" s="35">
        <v>4.5</v>
      </c>
      <c r="J37" s="36">
        <f>I37*H37</f>
        <v>801</v>
      </c>
      <c r="L37" s="1" t="s">
        <v>224</v>
      </c>
      <c r="M37" s="2"/>
      <c r="N37" s="2"/>
      <c r="O37" s="2"/>
      <c r="P37" s="2"/>
      <c r="V37" s="1"/>
      <c r="W37" s="2"/>
      <c r="X37" s="2"/>
      <c r="Y37" s="2"/>
    </row>
    <row r="38" spans="1:25" ht="18.5" x14ac:dyDescent="0.45">
      <c r="A38" s="25">
        <v>23301</v>
      </c>
      <c r="B38" s="25" t="s">
        <v>93</v>
      </c>
      <c r="C38" s="25" t="s">
        <v>94</v>
      </c>
      <c r="D38" s="25" t="s">
        <v>52</v>
      </c>
      <c r="E38" s="25" t="s">
        <v>19</v>
      </c>
      <c r="F38" s="26">
        <v>41109</v>
      </c>
      <c r="G38" s="27">
        <f>VALUE(MONTH(F38))</f>
        <v>7</v>
      </c>
      <c r="H38" s="28">
        <v>108</v>
      </c>
      <c r="I38" s="29">
        <v>6.99</v>
      </c>
      <c r="J38" s="30">
        <f>I38*H38</f>
        <v>754.92000000000007</v>
      </c>
      <c r="L38" s="1"/>
      <c r="M38" s="2"/>
      <c r="N38" s="2"/>
      <c r="O38" s="2"/>
      <c r="P38" s="2"/>
      <c r="V38" s="5" t="s">
        <v>231</v>
      </c>
      <c r="W38" s="2"/>
      <c r="X38" s="2"/>
      <c r="Y38" s="2"/>
    </row>
    <row r="39" spans="1:25" ht="18.5" x14ac:dyDescent="0.45">
      <c r="A39" s="31">
        <v>23320</v>
      </c>
      <c r="B39" s="31" t="s">
        <v>95</v>
      </c>
      <c r="C39" s="31" t="s">
        <v>96</v>
      </c>
      <c r="D39" s="31" t="s">
        <v>68</v>
      </c>
      <c r="E39" s="31" t="s">
        <v>16</v>
      </c>
      <c r="F39" s="32">
        <v>41075</v>
      </c>
      <c r="G39" s="33">
        <f>VALUE(MONTH(F39))</f>
        <v>6</v>
      </c>
      <c r="H39" s="34">
        <v>125</v>
      </c>
      <c r="I39" s="35">
        <v>6</v>
      </c>
      <c r="J39" s="36">
        <f>I39*H39</f>
        <v>750</v>
      </c>
      <c r="L39" s="5" t="s">
        <v>225</v>
      </c>
      <c r="M39" s="2"/>
      <c r="N39" s="2"/>
      <c r="O39" s="2"/>
      <c r="P39" s="2"/>
      <c r="V39" s="1"/>
      <c r="W39" s="2"/>
      <c r="X39" s="2"/>
      <c r="Y39" s="2"/>
    </row>
    <row r="40" spans="1:25" ht="18.5" x14ac:dyDescent="0.45">
      <c r="A40" s="25">
        <v>23365</v>
      </c>
      <c r="B40" s="25" t="s">
        <v>97</v>
      </c>
      <c r="C40" s="25" t="s">
        <v>98</v>
      </c>
      <c r="D40" s="25" t="s">
        <v>99</v>
      </c>
      <c r="E40" s="25" t="s">
        <v>19</v>
      </c>
      <c r="F40" s="26">
        <v>41099</v>
      </c>
      <c r="G40" s="27">
        <f>VALUE(MONTH(F40))</f>
        <v>7</v>
      </c>
      <c r="H40" s="28">
        <v>165</v>
      </c>
      <c r="I40" s="29">
        <v>4.5</v>
      </c>
      <c r="J40" s="30">
        <f>I40*H40</f>
        <v>742.5</v>
      </c>
      <c r="L40" s="1"/>
      <c r="M40" s="2"/>
      <c r="N40" s="2"/>
      <c r="O40" s="2"/>
      <c r="P40" s="2"/>
      <c r="V40" s="5"/>
      <c r="W40" s="5"/>
      <c r="X40" s="7"/>
      <c r="Y40" s="2"/>
    </row>
    <row r="41" spans="1:25" x14ac:dyDescent="0.35">
      <c r="A41" s="31">
        <v>23302</v>
      </c>
      <c r="B41" s="31" t="s">
        <v>100</v>
      </c>
      <c r="C41" s="31" t="s">
        <v>74</v>
      </c>
      <c r="D41" s="31" t="s">
        <v>101</v>
      </c>
      <c r="E41" s="31" t="s">
        <v>13</v>
      </c>
      <c r="F41" s="32">
        <v>41117</v>
      </c>
      <c r="G41" s="33">
        <f>VALUE(MONTH(F41))</f>
        <v>7</v>
      </c>
      <c r="H41" s="34">
        <v>105</v>
      </c>
      <c r="I41" s="35">
        <v>6.5</v>
      </c>
      <c r="J41" s="36">
        <f>I41*H41</f>
        <v>682.5</v>
      </c>
      <c r="L41" s="5"/>
      <c r="M41" s="5"/>
      <c r="N41" s="7"/>
      <c r="O41" s="2"/>
      <c r="P41" s="2"/>
      <c r="V41" s="38" t="s">
        <v>0</v>
      </c>
      <c r="W41" s="38" t="s">
        <v>2</v>
      </c>
      <c r="X41" s="38" t="s">
        <v>221</v>
      </c>
      <c r="Y41" s="38" t="s">
        <v>9</v>
      </c>
    </row>
    <row r="42" spans="1:25" x14ac:dyDescent="0.35">
      <c r="A42" s="25">
        <v>23266</v>
      </c>
      <c r="B42" s="25" t="s">
        <v>102</v>
      </c>
      <c r="C42" s="25" t="s">
        <v>103</v>
      </c>
      <c r="D42" s="25" t="s">
        <v>90</v>
      </c>
      <c r="E42" s="25" t="s">
        <v>13</v>
      </c>
      <c r="F42" s="26">
        <v>41132</v>
      </c>
      <c r="G42" s="27">
        <f>VALUE(MONTH(F42))</f>
        <v>8</v>
      </c>
      <c r="H42" s="28">
        <v>170</v>
      </c>
      <c r="I42" s="29">
        <v>3.99</v>
      </c>
      <c r="J42" s="30">
        <f>I42*H42</f>
        <v>678.30000000000007</v>
      </c>
      <c r="L42" s="10" t="s">
        <v>0</v>
      </c>
      <c r="M42" s="10" t="s">
        <v>2</v>
      </c>
      <c r="N42" s="10" t="s">
        <v>221</v>
      </c>
      <c r="O42" s="10" t="s">
        <v>9</v>
      </c>
      <c r="P42" s="2"/>
      <c r="V42" s="39">
        <v>23265</v>
      </c>
      <c r="W42" s="39" t="str">
        <f>IFERROR(INDEX(C2:C108,MATCH(V42,A2:A108,0)),"")</f>
        <v>South Africa</v>
      </c>
      <c r="X42" s="39" t="str">
        <f>IFERROR(INDEX(B2:B108,MATCH(V42,A2:A108,0)),"")</f>
        <v>Uriel Benton</v>
      </c>
      <c r="Y42" s="41">
        <f>IFERROR(INDEX(J2:J108,MATCH(V42,A2:A108,0)),"0")</f>
        <v>139.86000000000001</v>
      </c>
    </row>
    <row r="43" spans="1:25" x14ac:dyDescent="0.35">
      <c r="A43" s="31">
        <v>23307</v>
      </c>
      <c r="B43" s="31" t="s">
        <v>104</v>
      </c>
      <c r="C43" s="31" t="s">
        <v>105</v>
      </c>
      <c r="D43" s="31" t="s">
        <v>68</v>
      </c>
      <c r="E43" s="31" t="s">
        <v>19</v>
      </c>
      <c r="F43" s="32">
        <v>41094</v>
      </c>
      <c r="G43" s="33">
        <f>VALUE(MONTH(F43))</f>
        <v>7</v>
      </c>
      <c r="H43" s="34">
        <v>113</v>
      </c>
      <c r="I43" s="35">
        <v>6</v>
      </c>
      <c r="J43" s="36">
        <f>I43*H43</f>
        <v>678</v>
      </c>
      <c r="L43" s="11">
        <v>23265</v>
      </c>
      <c r="M43" s="11" t="str">
        <f>IFERROR(VLOOKUP(L43,A2:J108,3,FALSE),"")</f>
        <v>South Africa</v>
      </c>
      <c r="N43" s="11" t="str">
        <f>IFERROR(VLOOKUP(L43,A2:J108,2,FALSE), "Not Found")</f>
        <v>Uriel Benton</v>
      </c>
      <c r="O43" s="15">
        <f>IFERROR(VLOOKUP(L43,A2:J108,10,FALSE),"0")</f>
        <v>139.86000000000001</v>
      </c>
      <c r="P43" s="2"/>
      <c r="V43" s="39">
        <v>23315</v>
      </c>
      <c r="W43" s="39" t="str">
        <f>IFERROR(INDEX(C2:C108,MATCH(V43,A2:A108,0)),"")</f>
        <v>Burkina Faso</v>
      </c>
      <c r="X43" s="39" t="str">
        <f>IFERROR(INDEX(B2:B108,MATCH(V43,A2:A108,0)),"")</f>
        <v>Anika Tillman</v>
      </c>
      <c r="Y43" s="41">
        <f>IFERROR(INDEX(J2:J108,MATCH(V43,A2:A108,0)),"0")</f>
        <v>490.5</v>
      </c>
    </row>
    <row r="44" spans="1:25" x14ac:dyDescent="0.35">
      <c r="A44" s="25">
        <v>23368</v>
      </c>
      <c r="B44" s="25" t="s">
        <v>106</v>
      </c>
      <c r="C44" s="25" t="s">
        <v>107</v>
      </c>
      <c r="D44" s="25" t="s">
        <v>99</v>
      </c>
      <c r="E44" s="25" t="s">
        <v>19</v>
      </c>
      <c r="F44" s="26">
        <v>41146</v>
      </c>
      <c r="G44" s="27">
        <f>VALUE(MONTH(F44))</f>
        <v>8</v>
      </c>
      <c r="H44" s="28">
        <v>150</v>
      </c>
      <c r="I44" s="29">
        <v>4.5</v>
      </c>
      <c r="J44" s="30">
        <f>I44*H44</f>
        <v>675</v>
      </c>
      <c r="L44" s="14">
        <v>23315</v>
      </c>
      <c r="M44" s="11" t="str">
        <f>IFERROR(VLOOKUP(L44,A2:J108,3,FALSE),"")</f>
        <v>Burkina Faso</v>
      </c>
      <c r="N44" s="11" t="str">
        <f>IFERROR(VLOOKUP(L44,A2:J108,2,FALSE),"Not Found")</f>
        <v>Anika Tillman</v>
      </c>
      <c r="O44" s="15">
        <f>IFERROR(VLOOKUP(L44,A2:J108,10,FALSE),"0")</f>
        <v>490.5</v>
      </c>
      <c r="P44" s="2"/>
      <c r="V44" s="39">
        <v>30000</v>
      </c>
      <c r="W44" s="39" t="str">
        <f>IFERROR(INDEX(C2:C108,MATCH(V44,A2:A108,0)),"")</f>
        <v/>
      </c>
      <c r="X44" s="39" t="str">
        <f>IFERROR(INDEX(B2:B108,MATCH(V44,A2:A108,0)),"")</f>
        <v/>
      </c>
      <c r="Y44" s="41" t="str">
        <f>IFERROR(INDEX(J2:J108,MATCH(V44,A2:A108,0)),"0")</f>
        <v>0</v>
      </c>
    </row>
    <row r="45" spans="1:25" x14ac:dyDescent="0.35">
      <c r="A45" s="31">
        <v>23286</v>
      </c>
      <c r="B45" s="31" t="s">
        <v>108</v>
      </c>
      <c r="C45" s="31" t="s">
        <v>109</v>
      </c>
      <c r="D45" s="31" t="s">
        <v>33</v>
      </c>
      <c r="E45" s="31" t="s">
        <v>13</v>
      </c>
      <c r="F45" s="32">
        <v>41129</v>
      </c>
      <c r="G45" s="33">
        <f>VALUE(MONTH(F45))</f>
        <v>8</v>
      </c>
      <c r="H45" s="34">
        <v>69</v>
      </c>
      <c r="I45" s="35">
        <v>9</v>
      </c>
      <c r="J45" s="36">
        <f>I45*H45</f>
        <v>621</v>
      </c>
      <c r="L45" s="14">
        <v>30000</v>
      </c>
      <c r="M45" s="11" t="str">
        <f>IFERROR(VLOOKUP(L45,A2:J108,3,FALSE),"")</f>
        <v/>
      </c>
      <c r="N45" s="11" t="str">
        <f>IFERROR(VLOOKUP(L45,A2:J108,2,FALSE),"Not Found")</f>
        <v>Not Found</v>
      </c>
      <c r="O45" s="15" t="str">
        <f>IFERROR(VLOOKUP(L45,A2:J108,10,FALSE),"0")</f>
        <v>0</v>
      </c>
      <c r="P45" s="2"/>
      <c r="V45" s="39">
        <v>40000</v>
      </c>
      <c r="W45" s="39" t="str">
        <f>IFERROR(INDEX(C2:C108,MATCH(V45,A2:A108,0)),"")</f>
        <v/>
      </c>
      <c r="X45" s="39" t="str">
        <f>IFERROR(INDEX(B2:B108,MATCH(V45,A2:A108,0)),"")</f>
        <v/>
      </c>
      <c r="Y45" s="41" t="str">
        <f>IFERROR(INDEX(J2:J108,MATCH(V45,A2:A108,0)),"0")</f>
        <v>0</v>
      </c>
    </row>
    <row r="46" spans="1:25" x14ac:dyDescent="0.35">
      <c r="A46" s="25">
        <v>23373</v>
      </c>
      <c r="B46" s="25" t="s">
        <v>110</v>
      </c>
      <c r="C46" s="25" t="s">
        <v>111</v>
      </c>
      <c r="D46" s="25" t="s">
        <v>65</v>
      </c>
      <c r="E46" s="25" t="s">
        <v>13</v>
      </c>
      <c r="F46" s="26">
        <v>41114</v>
      </c>
      <c r="G46" s="27">
        <f>VALUE(MONTH(F46))</f>
        <v>7</v>
      </c>
      <c r="H46" s="28">
        <v>95</v>
      </c>
      <c r="I46" s="29">
        <v>6.5</v>
      </c>
      <c r="J46" s="30">
        <f>I46*H46</f>
        <v>617.5</v>
      </c>
      <c r="L46" s="14">
        <v>40000</v>
      </c>
      <c r="M46" s="11" t="str">
        <f>IFERROR(VLOOKUP(L46,A2:J108,3,FALSE),"")</f>
        <v/>
      </c>
      <c r="N46" s="11" t="str">
        <f>IFERROR(VLOOKUP(L46,A2:J108,2,FALSE),"Not Found")</f>
        <v>Not Found</v>
      </c>
      <c r="O46" s="15" t="str">
        <f>IFERROR(VLOOKUP(L46,A2:J108,10,FALSE),"0")</f>
        <v>0</v>
      </c>
      <c r="P46" s="2"/>
      <c r="V46" s="39">
        <v>23367</v>
      </c>
      <c r="W46" s="39" t="str">
        <f>IFERROR(INDEX(C2:C108,MATCH(V46,A2:A108,0)),"")</f>
        <v>Saudi Arabia</v>
      </c>
      <c r="X46" s="39" t="str">
        <f>IFERROR(INDEX(B2:B108,MATCH(V46,A2:A108,0)),"")</f>
        <v>Roary Dixon</v>
      </c>
      <c r="Y46" s="41">
        <f>IFERROR(INDEX(J2:J108,MATCH(V46,A2:A108,0)),"0")</f>
        <v>45</v>
      </c>
    </row>
    <row r="47" spans="1:25" x14ac:dyDescent="0.35">
      <c r="A47" s="31">
        <v>23380</v>
      </c>
      <c r="B47" s="31" t="s">
        <v>112</v>
      </c>
      <c r="C47" s="31" t="s">
        <v>113</v>
      </c>
      <c r="D47" s="31" t="s">
        <v>101</v>
      </c>
      <c r="E47" s="31" t="s">
        <v>19</v>
      </c>
      <c r="F47" s="32">
        <v>41112</v>
      </c>
      <c r="G47" s="33">
        <f>VALUE(MONTH(F47))</f>
        <v>7</v>
      </c>
      <c r="H47" s="34">
        <v>95</v>
      </c>
      <c r="I47" s="35">
        <v>6.5</v>
      </c>
      <c r="J47" s="36">
        <f>I47*H47</f>
        <v>617.5</v>
      </c>
      <c r="L47" s="14">
        <v>23367</v>
      </c>
      <c r="M47" s="11" t="str">
        <f>IFERROR(VLOOKUP(L47,A2:J108,3,FALSE),"")</f>
        <v>Saudi Arabia</v>
      </c>
      <c r="N47" s="11" t="str">
        <f>IFERROR(VLOOKUP(L47,A2:J108,2,FALSE),"Not Found")</f>
        <v>Roary Dixon</v>
      </c>
      <c r="O47" s="15">
        <f>IFERROR(VLOOKUP(L47,A2:J108,10,FALSE),"0")</f>
        <v>45</v>
      </c>
      <c r="P47" s="2"/>
      <c r="V47" s="39">
        <v>23326</v>
      </c>
      <c r="W47" s="39" t="str">
        <f>IFERROR(INDEX(C2:C108,MATCH(V47,A2:A108,0)),"")</f>
        <v>Slovenia</v>
      </c>
      <c r="X47" s="39" t="str">
        <f>IFERROR(INDEX(B2:B108,MATCH(V47,A2:A108,0)),"")</f>
        <v>Katelyn Joseph</v>
      </c>
      <c r="Y47" s="41">
        <f>IFERROR(INDEX(J2:J108,MATCH(V47,A2:A108,0)),"0")</f>
        <v>567</v>
      </c>
    </row>
    <row r="48" spans="1:25" x14ac:dyDescent="0.35">
      <c r="A48" s="25">
        <v>23284</v>
      </c>
      <c r="B48" s="25" t="s">
        <v>114</v>
      </c>
      <c r="C48" s="25" t="s">
        <v>115</v>
      </c>
      <c r="D48" s="25" t="s">
        <v>77</v>
      </c>
      <c r="E48" s="25" t="s">
        <v>19</v>
      </c>
      <c r="F48" s="26">
        <v>41077</v>
      </c>
      <c r="G48" s="27">
        <f>VALUE(MONTH(F48))</f>
        <v>6</v>
      </c>
      <c r="H48" s="28">
        <v>135</v>
      </c>
      <c r="I48" s="29">
        <v>4.5</v>
      </c>
      <c r="J48" s="30">
        <f>I48*H48</f>
        <v>607.5</v>
      </c>
      <c r="L48" s="14">
        <v>23326</v>
      </c>
      <c r="M48" s="11" t="str">
        <f>IFERROR(VLOOKUP(L48,A2:J108,3,FALSE),"")</f>
        <v>Slovenia</v>
      </c>
      <c r="N48" s="11" t="str">
        <f>IFERROR(VLOOKUP(L48,A2:J108,2,FALSE),"Not Found")</f>
        <v>Katelyn Joseph</v>
      </c>
      <c r="O48" s="15">
        <f>IFERROR(VLOOKUP(L48,A2:J108,10,FALSE),"0")</f>
        <v>567</v>
      </c>
      <c r="P48" s="2"/>
      <c r="V48" s="39">
        <v>35000</v>
      </c>
      <c r="W48" s="39" t="str">
        <f>IFERROR(INDEX(C2:C108,MATCH(V48,A2:A108,0)),"")</f>
        <v/>
      </c>
      <c r="X48" s="39" t="str">
        <f>IFERROR(INDEX(B2:B108,MATCH(V48,A2:A108,0)),"")</f>
        <v/>
      </c>
      <c r="Y48" s="41" t="str">
        <f>IFERROR(INDEX(J2:J108,MATCH(V48,A2:A108,0)),"0")</f>
        <v>0</v>
      </c>
    </row>
    <row r="49" spans="1:25" x14ac:dyDescent="0.35">
      <c r="A49" s="31">
        <v>23306</v>
      </c>
      <c r="B49" s="31" t="s">
        <v>116</v>
      </c>
      <c r="C49" s="31" t="s">
        <v>117</v>
      </c>
      <c r="D49" s="31" t="s">
        <v>65</v>
      </c>
      <c r="E49" s="31" t="s">
        <v>13</v>
      </c>
      <c r="F49" s="32">
        <v>41068</v>
      </c>
      <c r="G49" s="33" t="s">
        <v>233</v>
      </c>
      <c r="H49" s="34">
        <v>93</v>
      </c>
      <c r="I49" s="35">
        <v>6.5</v>
      </c>
      <c r="J49" s="36">
        <f>I49*H49</f>
        <v>604.5</v>
      </c>
      <c r="L49" s="14">
        <v>35000</v>
      </c>
      <c r="M49" s="11" t="str">
        <f>IFERROR(VLOOKUP(L49,A2:J108,3,FALSE),"")</f>
        <v/>
      </c>
      <c r="N49" s="11" t="str">
        <f>IFERROR(VLOOKUP(L49,A2:J108,2,FALSE),"Not Found")</f>
        <v>Not Found</v>
      </c>
      <c r="O49" s="15" t="str">
        <f>IFERROR(VLOOKUP(L49,A2:J108,10,FALSE),"0")</f>
        <v>0</v>
      </c>
      <c r="P49" s="2"/>
      <c r="V49" s="42"/>
      <c r="W49" s="42"/>
      <c r="X49" s="43" t="s">
        <v>226</v>
      </c>
      <c r="Y49" s="44">
        <f>SUM(Y42:Y48)</f>
        <v>1242.3600000000001</v>
      </c>
    </row>
    <row r="50" spans="1:25" x14ac:dyDescent="0.35">
      <c r="A50" s="25">
        <v>23281</v>
      </c>
      <c r="B50" s="25" t="s">
        <v>118</v>
      </c>
      <c r="C50" s="25" t="s">
        <v>119</v>
      </c>
      <c r="D50" s="25" t="s">
        <v>99</v>
      </c>
      <c r="E50" s="25" t="s">
        <v>19</v>
      </c>
      <c r="F50" s="26">
        <v>41103</v>
      </c>
      <c r="G50" s="27">
        <f>VALUE(MONTH(F50))</f>
        <v>7</v>
      </c>
      <c r="H50" s="28">
        <v>134</v>
      </c>
      <c r="I50" s="29">
        <v>4.5</v>
      </c>
      <c r="J50" s="30">
        <f>I50*H50</f>
        <v>603</v>
      </c>
      <c r="L50" s="4"/>
      <c r="M50" s="4"/>
      <c r="N50" s="16" t="s">
        <v>226</v>
      </c>
      <c r="O50" s="17">
        <f>SUM(O43:O49)</f>
        <v>1242.3600000000001</v>
      </c>
      <c r="P50" s="2"/>
      <c r="V50" s="4"/>
      <c r="W50" s="4"/>
      <c r="X50" s="4"/>
      <c r="Y50" s="2"/>
    </row>
    <row r="51" spans="1:25" x14ac:dyDescent="0.35">
      <c r="A51" s="31">
        <v>23351</v>
      </c>
      <c r="B51" s="31" t="s">
        <v>120</v>
      </c>
      <c r="C51" s="31" t="s">
        <v>121</v>
      </c>
      <c r="D51" s="31" t="s">
        <v>90</v>
      </c>
      <c r="E51" s="31" t="s">
        <v>13</v>
      </c>
      <c r="F51" s="32">
        <v>41124</v>
      </c>
      <c r="G51" s="33">
        <f>VALUE(MONTH(F51))</f>
        <v>8</v>
      </c>
      <c r="H51" s="34">
        <v>151</v>
      </c>
      <c r="I51" s="35">
        <v>3.99</v>
      </c>
      <c r="J51" s="36">
        <f>I51*H51</f>
        <v>602.49</v>
      </c>
      <c r="L51" s="4"/>
      <c r="M51" s="4"/>
      <c r="N51" s="4"/>
      <c r="O51" s="2"/>
      <c r="P51" s="2"/>
      <c r="V51" s="5" t="s">
        <v>219</v>
      </c>
      <c r="W51" s="6"/>
      <c r="X51" s="6"/>
      <c r="Y51" s="2"/>
    </row>
    <row r="52" spans="1:25" x14ac:dyDescent="0.35">
      <c r="A52" s="25">
        <v>23282</v>
      </c>
      <c r="B52" s="25" t="s">
        <v>122</v>
      </c>
      <c r="C52" s="25" t="s">
        <v>123</v>
      </c>
      <c r="D52" s="25" t="s">
        <v>68</v>
      </c>
      <c r="E52" s="25" t="s">
        <v>19</v>
      </c>
      <c r="F52" s="26">
        <v>41142</v>
      </c>
      <c r="G52" s="27">
        <f>VALUE(MONTH(F52))</f>
        <v>8</v>
      </c>
      <c r="H52" s="28">
        <v>100</v>
      </c>
      <c r="I52" s="29">
        <v>6</v>
      </c>
      <c r="J52" s="30">
        <f>I52*H52</f>
        <v>600</v>
      </c>
      <c r="L52" s="5" t="s">
        <v>219</v>
      </c>
      <c r="M52" s="6"/>
      <c r="N52" s="6"/>
      <c r="O52" s="2"/>
      <c r="P52" s="2"/>
      <c r="V52" s="5" t="s">
        <v>232</v>
      </c>
      <c r="W52" s="7"/>
      <c r="X52" s="7"/>
      <c r="Y52" s="2"/>
    </row>
    <row r="53" spans="1:25" x14ac:dyDescent="0.35">
      <c r="A53" s="31">
        <v>23376</v>
      </c>
      <c r="B53" s="31" t="s">
        <v>124</v>
      </c>
      <c r="C53" s="31" t="s">
        <v>125</v>
      </c>
      <c r="D53" s="31" t="s">
        <v>52</v>
      </c>
      <c r="E53" s="31" t="s">
        <v>16</v>
      </c>
      <c r="F53" s="32">
        <v>41113</v>
      </c>
      <c r="G53" s="33">
        <f>VALUE(MONTH(F53))</f>
        <v>7</v>
      </c>
      <c r="H53" s="34">
        <v>85</v>
      </c>
      <c r="I53" s="35">
        <v>6.99</v>
      </c>
      <c r="J53" s="36">
        <f>I53*H53</f>
        <v>594.15</v>
      </c>
      <c r="L53" s="5" t="s">
        <v>220</v>
      </c>
      <c r="M53" s="7"/>
      <c r="N53" s="7"/>
      <c r="O53" s="2"/>
      <c r="P53" s="2"/>
      <c r="V53" s="8"/>
      <c r="W53" s="9"/>
      <c r="X53" s="9"/>
      <c r="Y53" s="2"/>
    </row>
    <row r="54" spans="1:25" x14ac:dyDescent="0.35">
      <c r="A54" s="25">
        <v>23354</v>
      </c>
      <c r="B54" s="25" t="s">
        <v>126</v>
      </c>
      <c r="C54" s="25" t="s">
        <v>127</v>
      </c>
      <c r="D54" s="25" t="s">
        <v>52</v>
      </c>
      <c r="E54" s="25" t="s">
        <v>13</v>
      </c>
      <c r="F54" s="26">
        <v>41124</v>
      </c>
      <c r="G54" s="27">
        <f>VALUE(MONTH(F54))</f>
        <v>8</v>
      </c>
      <c r="H54" s="28">
        <v>84</v>
      </c>
      <c r="I54" s="29">
        <v>6.99</v>
      </c>
      <c r="J54" s="30">
        <f>I54*H54</f>
        <v>587.16</v>
      </c>
      <c r="L54" s="8"/>
      <c r="M54" s="9"/>
      <c r="N54" s="9"/>
      <c r="O54" s="2"/>
      <c r="P54" s="2"/>
      <c r="V54" s="38" t="s">
        <v>0</v>
      </c>
      <c r="W54" s="38" t="s">
        <v>221</v>
      </c>
      <c r="X54" s="38" t="s">
        <v>9</v>
      </c>
      <c r="Y54" s="2"/>
    </row>
    <row r="55" spans="1:25" x14ac:dyDescent="0.35">
      <c r="A55" s="31">
        <v>23337</v>
      </c>
      <c r="B55" s="31" t="s">
        <v>128</v>
      </c>
      <c r="C55" s="31" t="s">
        <v>129</v>
      </c>
      <c r="D55" s="31" t="s">
        <v>52</v>
      </c>
      <c r="E55" s="31" t="s">
        <v>19</v>
      </c>
      <c r="F55" s="32">
        <v>41097</v>
      </c>
      <c r="G55" s="33">
        <f>VALUE(MONTH(F55))</f>
        <v>7</v>
      </c>
      <c r="H55" s="34">
        <v>82</v>
      </c>
      <c r="I55" s="35">
        <v>6.99</v>
      </c>
      <c r="J55" s="36">
        <f>I55*H55</f>
        <v>573.18000000000006</v>
      </c>
      <c r="L55" s="10" t="s">
        <v>0</v>
      </c>
      <c r="M55" s="10" t="s">
        <v>221</v>
      </c>
      <c r="N55" s="10" t="s">
        <v>9</v>
      </c>
      <c r="O55" s="2"/>
      <c r="P55" s="2"/>
      <c r="V55" s="39">
        <v>23265</v>
      </c>
      <c r="W55" s="39" t="str">
        <f>IFERROR(INDEX(B2:B108,MATCH(V55,A2:A108,0)),"")</f>
        <v>Uriel Benton</v>
      </c>
      <c r="X55" s="39">
        <f>IFERROR(INDEX(J2:J108,MATCH(V55,A2:A108,0)),"0")</f>
        <v>139.86000000000001</v>
      </c>
      <c r="Y55" s="2"/>
    </row>
    <row r="56" spans="1:25" x14ac:dyDescent="0.35">
      <c r="A56" s="25">
        <v>23326</v>
      </c>
      <c r="B56" s="25" t="s">
        <v>130</v>
      </c>
      <c r="C56" s="25" t="s">
        <v>131</v>
      </c>
      <c r="D56" s="25" t="s">
        <v>99</v>
      </c>
      <c r="E56" s="25" t="s">
        <v>19</v>
      </c>
      <c r="F56" s="26">
        <v>41142</v>
      </c>
      <c r="G56" s="27">
        <f>VALUE(MONTH(F56))</f>
        <v>8</v>
      </c>
      <c r="H56" s="28">
        <v>126</v>
      </c>
      <c r="I56" s="29">
        <v>4.5</v>
      </c>
      <c r="J56" s="30">
        <f>I56*H56</f>
        <v>567</v>
      </c>
      <c r="L56" s="11">
        <v>23265</v>
      </c>
      <c r="M56" s="11" t="str">
        <f>IFERROR(VLOOKUP(L56,A2:J108,2,FALSE),"")</f>
        <v>Uriel Benton</v>
      </c>
      <c r="N56" s="11">
        <f>IFERROR(VLOOKUP(L56,A2:J108,10,FALSE),"0")</f>
        <v>139.86000000000001</v>
      </c>
      <c r="O56" s="2"/>
      <c r="P56" s="2"/>
      <c r="V56" s="39">
        <v>40000</v>
      </c>
      <c r="W56" s="39" t="str">
        <f>IFERROR(INDEX(B2:B108,MATCH(V56,A2:A108,0)),"")</f>
        <v/>
      </c>
      <c r="X56" s="39" t="str">
        <f>IFERROR(INDEX(J2:J108,MATCH(V56,A2:A108,0)),"0")</f>
        <v>0</v>
      </c>
      <c r="Y56" s="2"/>
    </row>
    <row r="57" spans="1:25" x14ac:dyDescent="0.35">
      <c r="A57" s="31">
        <v>23316</v>
      </c>
      <c r="B57" s="31" t="s">
        <v>132</v>
      </c>
      <c r="C57" s="31" t="s">
        <v>133</v>
      </c>
      <c r="D57" s="31" t="s">
        <v>90</v>
      </c>
      <c r="E57" s="31" t="s">
        <v>19</v>
      </c>
      <c r="F57" s="32">
        <v>41061</v>
      </c>
      <c r="G57" s="33">
        <f>VALUE(MONTH(F57))</f>
        <v>6</v>
      </c>
      <c r="H57" s="34">
        <v>137</v>
      </c>
      <c r="I57" s="35">
        <v>3.99</v>
      </c>
      <c r="J57" s="36">
        <f>I57*H57</f>
        <v>546.63</v>
      </c>
      <c r="L57" s="11">
        <v>40000</v>
      </c>
      <c r="M57" s="11" t="str">
        <f>IFERROR(VLOOKUP(L57,A2:J108,2,FALSE),"")</f>
        <v/>
      </c>
      <c r="N57" s="11" t="str">
        <f>IFERROR(VLOOKUP(L57,A2:J108,10,FALSE),"0")</f>
        <v>0</v>
      </c>
      <c r="O57" s="2"/>
      <c r="P57" s="2"/>
      <c r="V57" s="39">
        <v>23367</v>
      </c>
      <c r="W57" s="39" t="str">
        <f>IFERROR(INDEX(B2:B108,MATCH(V57,A2:A108,0)),"")</f>
        <v>Roary Dixon</v>
      </c>
      <c r="X57" s="39">
        <f>IFERROR(INDEX(J2:J108,MATCH(V57,A2:A108,0)),"0")</f>
        <v>45</v>
      </c>
      <c r="Y57" s="2"/>
    </row>
    <row r="58" spans="1:25" x14ac:dyDescent="0.35">
      <c r="A58" s="25">
        <v>23362</v>
      </c>
      <c r="B58" s="25" t="s">
        <v>134</v>
      </c>
      <c r="C58" s="25" t="s">
        <v>135</v>
      </c>
      <c r="D58" s="25" t="s">
        <v>136</v>
      </c>
      <c r="E58" s="25" t="s">
        <v>13</v>
      </c>
      <c r="F58" s="26">
        <v>41139</v>
      </c>
      <c r="G58" s="27">
        <f>VALUE(MONTH(F58))</f>
        <v>8</v>
      </c>
      <c r="H58" s="28">
        <v>179</v>
      </c>
      <c r="I58" s="29">
        <v>3</v>
      </c>
      <c r="J58" s="30">
        <f>I58*H58</f>
        <v>537</v>
      </c>
      <c r="L58" s="11">
        <v>23367</v>
      </c>
      <c r="M58" s="11" t="str">
        <f>IFERROR(VLOOKUP(L58,A2:J108,2,FALSE),"")</f>
        <v>Roary Dixon</v>
      </c>
      <c r="N58" s="11">
        <f>IFERROR(VLOOKUP(L58,A2:J108,10,FALSE),"0")</f>
        <v>45</v>
      </c>
      <c r="O58" s="2"/>
      <c r="P58" s="2"/>
      <c r="V58" s="6"/>
      <c r="W58" s="6"/>
      <c r="X58" s="6"/>
      <c r="Y58" s="2"/>
    </row>
    <row r="59" spans="1:25" x14ac:dyDescent="0.35">
      <c r="A59" s="31">
        <v>23296</v>
      </c>
      <c r="B59" s="31" t="s">
        <v>137</v>
      </c>
      <c r="C59" s="31" t="s">
        <v>138</v>
      </c>
      <c r="D59" s="31" t="s">
        <v>12</v>
      </c>
      <c r="E59" s="31" t="s">
        <v>19</v>
      </c>
      <c r="F59" s="32">
        <v>41068</v>
      </c>
      <c r="G59" s="33">
        <f>VALUE(MONTH(F59))</f>
        <v>6</v>
      </c>
      <c r="H59" s="34">
        <v>37</v>
      </c>
      <c r="I59" s="35">
        <v>14.5</v>
      </c>
      <c r="J59" s="36">
        <f>I59*H59</f>
        <v>536.5</v>
      </c>
      <c r="L59" s="6"/>
      <c r="M59" s="6"/>
      <c r="N59" s="6"/>
      <c r="O59" s="2"/>
      <c r="P59" s="2"/>
      <c r="V59" s="6"/>
      <c r="W59" s="6"/>
      <c r="X59" s="6"/>
      <c r="Y59" s="2"/>
    </row>
    <row r="60" spans="1:25" x14ac:dyDescent="0.35">
      <c r="A60" s="25">
        <v>23352</v>
      </c>
      <c r="B60" s="25" t="s">
        <v>139</v>
      </c>
      <c r="C60" s="25" t="s">
        <v>140</v>
      </c>
      <c r="D60" s="25" t="s">
        <v>68</v>
      </c>
      <c r="E60" s="25" t="s">
        <v>13</v>
      </c>
      <c r="F60" s="26">
        <v>41097</v>
      </c>
      <c r="G60" s="27">
        <f>VALUE(MONTH(F60))</f>
        <v>7</v>
      </c>
      <c r="H60" s="28">
        <v>89</v>
      </c>
      <c r="I60" s="29">
        <v>6</v>
      </c>
      <c r="J60" s="30">
        <f>I60*H60</f>
        <v>534</v>
      </c>
      <c r="L60" s="6"/>
      <c r="M60" s="6"/>
      <c r="N60" s="6"/>
      <c r="O60" s="2"/>
      <c r="P60" s="2"/>
      <c r="V60" s="6"/>
      <c r="W60" s="16" t="s">
        <v>226</v>
      </c>
      <c r="X60" s="18">
        <f>SUM(X55:X57)</f>
        <v>184.86</v>
      </c>
      <c r="Y60" s="2"/>
    </row>
    <row r="61" spans="1:25" x14ac:dyDescent="0.35">
      <c r="A61" s="31">
        <v>23304</v>
      </c>
      <c r="B61" s="31" t="s">
        <v>141</v>
      </c>
      <c r="C61" s="31" t="s">
        <v>142</v>
      </c>
      <c r="D61" s="31" t="s">
        <v>90</v>
      </c>
      <c r="E61" s="31" t="s">
        <v>19</v>
      </c>
      <c r="F61" s="32">
        <v>41061</v>
      </c>
      <c r="G61" s="33">
        <f>VALUE(MONTH(F61))</f>
        <v>6</v>
      </c>
      <c r="H61" s="34">
        <v>131</v>
      </c>
      <c r="I61" s="35">
        <v>3.99</v>
      </c>
      <c r="J61" s="36">
        <f>I61*H61</f>
        <v>522.69000000000005</v>
      </c>
      <c r="L61" s="6"/>
      <c r="M61" s="16" t="s">
        <v>226</v>
      </c>
      <c r="N61" s="18">
        <f>SUM(N56:N58)</f>
        <v>184.86</v>
      </c>
      <c r="O61" s="2"/>
      <c r="P61" s="2"/>
      <c r="V61" s="6"/>
      <c r="W61" s="6"/>
      <c r="X61" s="6"/>
      <c r="Y61" s="2"/>
    </row>
    <row r="62" spans="1:25" x14ac:dyDescent="0.35">
      <c r="A62" s="25">
        <v>23369</v>
      </c>
      <c r="B62" s="25" t="s">
        <v>143</v>
      </c>
      <c r="C62" s="25" t="s">
        <v>144</v>
      </c>
      <c r="D62" s="25" t="s">
        <v>101</v>
      </c>
      <c r="E62" s="25" t="s">
        <v>19</v>
      </c>
      <c r="F62" s="26">
        <v>41092</v>
      </c>
      <c r="G62" s="27">
        <f>VALUE(MONTH(F62))</f>
        <v>7</v>
      </c>
      <c r="H62" s="28">
        <v>77</v>
      </c>
      <c r="I62" s="29">
        <v>6.5</v>
      </c>
      <c r="J62" s="30">
        <f>I62*H62</f>
        <v>500.5</v>
      </c>
      <c r="L62" s="6"/>
      <c r="M62" s="6"/>
      <c r="N62" s="6"/>
      <c r="O62" s="2"/>
      <c r="P62" s="2"/>
      <c r="V62" s="2"/>
      <c r="W62" s="2"/>
      <c r="X62" s="2"/>
      <c r="Y62" s="2"/>
    </row>
    <row r="63" spans="1:25" ht="18.5" x14ac:dyDescent="0.45">
      <c r="A63" s="31">
        <v>23268</v>
      </c>
      <c r="B63" s="31" t="s">
        <v>145</v>
      </c>
      <c r="C63" s="31" t="s">
        <v>146</v>
      </c>
      <c r="D63" s="31" t="s">
        <v>68</v>
      </c>
      <c r="E63" s="31" t="s">
        <v>13</v>
      </c>
      <c r="F63" s="32">
        <v>41102</v>
      </c>
      <c r="G63" s="33">
        <f>VALUE(MONTH(F63))</f>
        <v>7</v>
      </c>
      <c r="H63" s="34">
        <v>82</v>
      </c>
      <c r="I63" s="35">
        <v>6</v>
      </c>
      <c r="J63" s="36">
        <f>I63*H63</f>
        <v>492</v>
      </c>
      <c r="L63" s="2"/>
      <c r="M63" s="2"/>
      <c r="N63" s="2"/>
      <c r="O63" s="2"/>
      <c r="P63" s="2"/>
      <c r="V63" s="1" t="s">
        <v>227</v>
      </c>
      <c r="W63" s="2"/>
      <c r="X63" s="2"/>
      <c r="Y63" s="2"/>
    </row>
    <row r="64" spans="1:25" ht="18.5" x14ac:dyDescent="0.45">
      <c r="A64" s="25">
        <v>23315</v>
      </c>
      <c r="B64" s="25" t="s">
        <v>147</v>
      </c>
      <c r="C64" s="25" t="s">
        <v>29</v>
      </c>
      <c r="D64" s="25" t="s">
        <v>77</v>
      </c>
      <c r="E64" s="25" t="s">
        <v>19</v>
      </c>
      <c r="F64" s="26">
        <v>41102</v>
      </c>
      <c r="G64" s="27">
        <f>VALUE(MONTH(F64))</f>
        <v>7</v>
      </c>
      <c r="H64" s="28">
        <v>109</v>
      </c>
      <c r="I64" s="29">
        <v>4.5</v>
      </c>
      <c r="J64" s="30">
        <f>I64*H64</f>
        <v>490.5</v>
      </c>
      <c r="L64" s="1" t="s">
        <v>227</v>
      </c>
      <c r="M64" s="2"/>
      <c r="N64" s="2"/>
      <c r="O64" s="2"/>
      <c r="P64" s="2"/>
      <c r="V64" s="1"/>
      <c r="W64" s="2"/>
      <c r="X64" s="2"/>
      <c r="Y64" s="2"/>
    </row>
    <row r="65" spans="1:25" ht="18.5" x14ac:dyDescent="0.45">
      <c r="A65" s="31">
        <v>23342</v>
      </c>
      <c r="B65" s="31" t="s">
        <v>148</v>
      </c>
      <c r="C65" s="31" t="s">
        <v>149</v>
      </c>
      <c r="D65" s="31" t="s">
        <v>90</v>
      </c>
      <c r="E65" s="31" t="s">
        <v>13</v>
      </c>
      <c r="F65" s="32">
        <v>41088</v>
      </c>
      <c r="G65" s="33">
        <f>VALUE(MONTH(F65))</f>
        <v>6</v>
      </c>
      <c r="H65" s="34">
        <v>122</v>
      </c>
      <c r="I65" s="35">
        <v>3.99</v>
      </c>
      <c r="J65" s="36">
        <f>I65*H65</f>
        <v>486.78000000000003</v>
      </c>
      <c r="L65" s="1"/>
      <c r="M65" s="2"/>
      <c r="N65" s="2"/>
      <c r="O65" s="2"/>
      <c r="P65" s="2"/>
      <c r="V65" s="5" t="s">
        <v>228</v>
      </c>
      <c r="W65" s="2"/>
      <c r="X65" s="2"/>
      <c r="Y65" s="2"/>
    </row>
    <row r="66" spans="1:25" x14ac:dyDescent="0.35">
      <c r="A66" s="25">
        <v>23333</v>
      </c>
      <c r="B66" s="25" t="s">
        <v>150</v>
      </c>
      <c r="C66" s="25" t="s">
        <v>81</v>
      </c>
      <c r="D66" s="25" t="s">
        <v>77</v>
      </c>
      <c r="E66" s="25" t="s">
        <v>13</v>
      </c>
      <c r="F66" s="26">
        <v>41126</v>
      </c>
      <c r="G66" s="27">
        <f>VALUE(MONTH(F66))</f>
        <v>8</v>
      </c>
      <c r="H66" s="28">
        <v>106</v>
      </c>
      <c r="I66" s="29">
        <v>4.5</v>
      </c>
      <c r="J66" s="30">
        <f>I66*H66</f>
        <v>477</v>
      </c>
      <c r="L66" s="5" t="s">
        <v>228</v>
      </c>
      <c r="M66" s="2"/>
      <c r="N66" s="2"/>
      <c r="O66" s="2"/>
      <c r="P66" s="2"/>
      <c r="V66" s="2"/>
      <c r="W66" s="2"/>
      <c r="X66" s="2"/>
      <c r="Y66" s="2"/>
    </row>
    <row r="67" spans="1:25" x14ac:dyDescent="0.35">
      <c r="A67" s="31">
        <v>23263</v>
      </c>
      <c r="B67" s="31" t="s">
        <v>151</v>
      </c>
      <c r="C67" s="31" t="s">
        <v>74</v>
      </c>
      <c r="D67" s="31" t="s">
        <v>65</v>
      </c>
      <c r="E67" s="31" t="s">
        <v>13</v>
      </c>
      <c r="F67" s="32">
        <v>41096</v>
      </c>
      <c r="G67" s="33">
        <f>VALUE(MONTH(F67))</f>
        <v>7</v>
      </c>
      <c r="H67" s="34">
        <v>73</v>
      </c>
      <c r="I67" s="35">
        <v>6.5</v>
      </c>
      <c r="J67" s="36">
        <f>I67*H67</f>
        <v>474.5</v>
      </c>
      <c r="L67" s="2"/>
      <c r="M67" s="2"/>
      <c r="N67" s="2"/>
      <c r="O67" s="2"/>
      <c r="P67" s="2"/>
      <c r="V67" s="38" t="s">
        <v>0</v>
      </c>
      <c r="W67" s="38" t="s">
        <v>8</v>
      </c>
      <c r="X67" s="2"/>
      <c r="Y67" s="2"/>
    </row>
    <row r="68" spans="1:25" x14ac:dyDescent="0.35">
      <c r="A68" s="25">
        <v>23270</v>
      </c>
      <c r="B68" s="25" t="s">
        <v>152</v>
      </c>
      <c r="C68" s="25" t="s">
        <v>153</v>
      </c>
      <c r="D68" s="25" t="s">
        <v>52</v>
      </c>
      <c r="E68" s="25" t="s">
        <v>19</v>
      </c>
      <c r="F68" s="26">
        <v>41067</v>
      </c>
      <c r="G68" s="27">
        <f>VALUE(MONTH(F68))</f>
        <v>6</v>
      </c>
      <c r="H68" s="28">
        <v>67</v>
      </c>
      <c r="I68" s="29">
        <v>6.99</v>
      </c>
      <c r="J68" s="30">
        <f>I68*H68</f>
        <v>468.33000000000004</v>
      </c>
      <c r="L68" s="10" t="s">
        <v>0</v>
      </c>
      <c r="M68" s="10" t="s">
        <v>8</v>
      </c>
      <c r="N68" s="2"/>
      <c r="O68" s="2"/>
      <c r="P68" s="2"/>
      <c r="V68" s="39">
        <v>23265</v>
      </c>
      <c r="W68" s="45">
        <f>IFERROR(INDEX(I2:I108,MATCH(V69,A2:A108,0)),"0")</f>
        <v>4.5</v>
      </c>
      <c r="X68" s="2"/>
      <c r="Y68" s="2"/>
    </row>
    <row r="69" spans="1:25" x14ac:dyDescent="0.35">
      <c r="A69" s="31">
        <v>23272</v>
      </c>
      <c r="B69" s="31" t="s">
        <v>154</v>
      </c>
      <c r="C69" s="31" t="s">
        <v>155</v>
      </c>
      <c r="D69" s="31" t="s">
        <v>65</v>
      </c>
      <c r="E69" s="31" t="s">
        <v>16</v>
      </c>
      <c r="F69" s="32">
        <v>41121</v>
      </c>
      <c r="G69" s="33">
        <f>VALUE(MONTH(F69))</f>
        <v>7</v>
      </c>
      <c r="H69" s="34">
        <v>71</v>
      </c>
      <c r="I69" s="35">
        <v>6.5</v>
      </c>
      <c r="J69" s="36">
        <f>I69*H69</f>
        <v>461.5</v>
      </c>
      <c r="L69" s="11">
        <v>23265</v>
      </c>
      <c r="M69" s="19">
        <f>IFERROR(VLOOKUP(L69,A2:J108,9,FALSE),"0")</f>
        <v>9.99</v>
      </c>
      <c r="N69" s="2"/>
      <c r="O69" s="2"/>
      <c r="P69" s="2"/>
      <c r="V69" s="39">
        <v>23315</v>
      </c>
      <c r="W69" s="45">
        <f>IFERROR(INDEX(I2:I108,MATCH(V69,A2:A108,0)),"0")</f>
        <v>4.5</v>
      </c>
      <c r="X69" s="2"/>
      <c r="Y69" s="2"/>
    </row>
    <row r="70" spans="1:25" x14ac:dyDescent="0.35">
      <c r="A70" s="25">
        <v>23274</v>
      </c>
      <c r="B70" s="25" t="s">
        <v>156</v>
      </c>
      <c r="C70" s="25" t="s">
        <v>157</v>
      </c>
      <c r="D70" s="25" t="s">
        <v>136</v>
      </c>
      <c r="E70" s="25" t="s">
        <v>19</v>
      </c>
      <c r="F70" s="26">
        <v>41143</v>
      </c>
      <c r="G70" s="27">
        <f>VALUE(MONTH(F70))</f>
        <v>8</v>
      </c>
      <c r="H70" s="28">
        <v>153</v>
      </c>
      <c r="I70" s="29">
        <v>3</v>
      </c>
      <c r="J70" s="30">
        <f>I70*H70</f>
        <v>459</v>
      </c>
      <c r="L70" s="11">
        <v>23315</v>
      </c>
      <c r="M70" s="19">
        <f>IFERROR(VLOOKUP(L70,A2:J108,9,FALSE),"0")</f>
        <v>4.5</v>
      </c>
      <c r="N70" s="2"/>
      <c r="O70" s="2"/>
      <c r="P70" s="2"/>
      <c r="V70" s="39">
        <v>30000</v>
      </c>
      <c r="W70" s="45" t="str">
        <f>IFERROR(INDEX(I2:I108,MATCH(V70,A2:A108,0)),"0")</f>
        <v>0</v>
      </c>
      <c r="X70" s="2"/>
      <c r="Y70" s="2"/>
    </row>
    <row r="71" spans="1:25" x14ac:dyDescent="0.35">
      <c r="A71" s="31">
        <v>23364</v>
      </c>
      <c r="B71" s="31" t="s">
        <v>158</v>
      </c>
      <c r="C71" s="31" t="s">
        <v>159</v>
      </c>
      <c r="D71" s="31" t="s">
        <v>33</v>
      </c>
      <c r="E71" s="31" t="s">
        <v>13</v>
      </c>
      <c r="F71" s="32">
        <v>41093</v>
      </c>
      <c r="G71" s="33">
        <f>VALUE(MONTH(F71))</f>
        <v>7</v>
      </c>
      <c r="H71" s="34">
        <v>47</v>
      </c>
      <c r="I71" s="35">
        <v>9</v>
      </c>
      <c r="J71" s="36">
        <f>I71*H71</f>
        <v>423</v>
      </c>
      <c r="L71" s="11">
        <v>30000</v>
      </c>
      <c r="M71" s="19" t="str">
        <f>IFERROR(VLOOKUP(L71,A2:J108,9,FALSE),"0")</f>
        <v>0</v>
      </c>
      <c r="N71" s="2"/>
      <c r="O71" s="2"/>
      <c r="P71" s="2"/>
      <c r="V71" s="39">
        <v>23377</v>
      </c>
      <c r="W71" s="45">
        <f>IFERROR(INDEX(I2:I108,MATCH(V71,A2:A108,0)),"0")</f>
        <v>6.5</v>
      </c>
      <c r="X71" s="2"/>
      <c r="Y71" s="2"/>
    </row>
    <row r="72" spans="1:25" x14ac:dyDescent="0.35">
      <c r="A72" s="25">
        <v>23276</v>
      </c>
      <c r="B72" s="25" t="s">
        <v>160</v>
      </c>
      <c r="C72" s="25" t="s">
        <v>161</v>
      </c>
      <c r="D72" s="25" t="s">
        <v>101</v>
      </c>
      <c r="E72" s="25" t="s">
        <v>13</v>
      </c>
      <c r="F72" s="26">
        <v>41122</v>
      </c>
      <c r="G72" s="27">
        <f>VALUE(MONTH(F72))</f>
        <v>8</v>
      </c>
      <c r="H72" s="28">
        <v>65</v>
      </c>
      <c r="I72" s="29">
        <v>6.5</v>
      </c>
      <c r="J72" s="30">
        <f>I72*H72</f>
        <v>422.5</v>
      </c>
      <c r="L72" s="11">
        <v>23377</v>
      </c>
      <c r="M72" s="19">
        <f>IFERROR(VLOOKUP(L72,A2:J108,9,FALSE),"0")</f>
        <v>6.5</v>
      </c>
      <c r="N72" s="2"/>
      <c r="O72" s="2"/>
      <c r="P72" s="2"/>
      <c r="V72" s="39">
        <v>23311</v>
      </c>
      <c r="W72" s="45">
        <f>IFERROR(INDEX(I2:I108,MATCH(V72,A2:A108,0)),"0")</f>
        <v>14.5</v>
      </c>
      <c r="X72" s="2"/>
      <c r="Y72" s="2"/>
    </row>
    <row r="73" spans="1:25" x14ac:dyDescent="0.35">
      <c r="A73" s="31">
        <v>23343</v>
      </c>
      <c r="B73" s="31" t="s">
        <v>162</v>
      </c>
      <c r="C73" s="31" t="s">
        <v>111</v>
      </c>
      <c r="D73" s="31" t="s">
        <v>30</v>
      </c>
      <c r="E73" s="31" t="s">
        <v>13</v>
      </c>
      <c r="F73" s="32">
        <v>41144</v>
      </c>
      <c r="G73" s="33">
        <f>VALUE(MONTH(F73))</f>
        <v>8</v>
      </c>
      <c r="H73" s="34">
        <v>42</v>
      </c>
      <c r="I73" s="35">
        <v>9.99</v>
      </c>
      <c r="J73" s="36">
        <f>I73*H73</f>
        <v>419.58</v>
      </c>
      <c r="L73" s="11">
        <v>23311</v>
      </c>
      <c r="M73" s="19">
        <f>IFERROR(VLOOKUP(L73,A2:J108,9,FALSE),"0")</f>
        <v>14.5</v>
      </c>
      <c r="N73" s="2"/>
      <c r="O73" s="2"/>
      <c r="P73" s="2"/>
      <c r="V73" s="39">
        <v>23371.5</v>
      </c>
      <c r="W73" s="45" t="str">
        <f>IFERROR(INDEX(I2:I108,MATCH(V73,A2:A108,0)),"0")</f>
        <v>0</v>
      </c>
      <c r="X73" s="2"/>
      <c r="Y73" s="2"/>
    </row>
    <row r="74" spans="1:25" x14ac:dyDescent="0.35">
      <c r="A74" s="25">
        <v>23344</v>
      </c>
      <c r="B74" s="25" t="s">
        <v>163</v>
      </c>
      <c r="C74" s="25" t="s">
        <v>164</v>
      </c>
      <c r="D74" s="25" t="s">
        <v>65</v>
      </c>
      <c r="E74" s="25" t="s">
        <v>13</v>
      </c>
      <c r="F74" s="26">
        <v>41265</v>
      </c>
      <c r="G74" s="27">
        <f>VALUE(MONTH(F74))</f>
        <v>12</v>
      </c>
      <c r="H74" s="28">
        <v>64</v>
      </c>
      <c r="I74" s="29">
        <v>6.5</v>
      </c>
      <c r="J74" s="30">
        <f>I74*H74</f>
        <v>416</v>
      </c>
      <c r="L74" s="11">
        <v>23371.5</v>
      </c>
      <c r="M74" s="19" t="str">
        <f>IFERROR(VLOOKUP(L74,A2:J108,9,FALSE),"0")</f>
        <v>0</v>
      </c>
      <c r="N74" s="2"/>
      <c r="O74" s="2"/>
      <c r="P74" s="2"/>
      <c r="V74" s="2"/>
      <c r="W74" s="2"/>
      <c r="X74" s="2"/>
      <c r="Y74" s="2"/>
    </row>
    <row r="75" spans="1:25" x14ac:dyDescent="0.35">
      <c r="A75" s="31">
        <v>23299</v>
      </c>
      <c r="B75" s="31" t="s">
        <v>165</v>
      </c>
      <c r="C75" s="31" t="s">
        <v>125</v>
      </c>
      <c r="D75" s="31" t="s">
        <v>90</v>
      </c>
      <c r="E75" s="31" t="s">
        <v>19</v>
      </c>
      <c r="F75" s="32">
        <v>41087</v>
      </c>
      <c r="G75" s="33">
        <f>VALUE(MONTH(F75))</f>
        <v>6</v>
      </c>
      <c r="H75" s="34">
        <v>104</v>
      </c>
      <c r="I75" s="35">
        <v>3.99</v>
      </c>
      <c r="J75" s="36">
        <f>I75*H75</f>
        <v>414.96000000000004</v>
      </c>
      <c r="L75" s="2"/>
      <c r="M75" s="2"/>
      <c r="N75" s="2"/>
      <c r="O75" s="2"/>
      <c r="P75" s="2"/>
      <c r="V75" s="16" t="s">
        <v>229</v>
      </c>
      <c r="W75" s="17">
        <f>SUM(W68:W73)</f>
        <v>30</v>
      </c>
      <c r="X75" s="2"/>
      <c r="Y75" s="2"/>
    </row>
    <row r="76" spans="1:25" x14ac:dyDescent="0.35">
      <c r="A76" s="25">
        <v>23310</v>
      </c>
      <c r="B76" s="25" t="s">
        <v>166</v>
      </c>
      <c r="C76" s="25" t="s">
        <v>21</v>
      </c>
      <c r="D76" s="25" t="s">
        <v>30</v>
      </c>
      <c r="E76" s="25" t="s">
        <v>13</v>
      </c>
      <c r="F76" s="26">
        <v>41077</v>
      </c>
      <c r="G76" s="27">
        <f>VALUE(MONTH(F76))</f>
        <v>6</v>
      </c>
      <c r="H76" s="28">
        <v>41</v>
      </c>
      <c r="I76" s="29">
        <v>9.99</v>
      </c>
      <c r="J76" s="30">
        <f>I76*H76</f>
        <v>409.59000000000003</v>
      </c>
      <c r="L76" s="16" t="s">
        <v>229</v>
      </c>
      <c r="M76" s="17">
        <f>SUM(M69:M74)</f>
        <v>35.49</v>
      </c>
      <c r="N76" s="2"/>
      <c r="O76" s="2"/>
      <c r="P76" s="2"/>
    </row>
    <row r="77" spans="1:25" x14ac:dyDescent="0.35">
      <c r="A77" s="31">
        <v>23358</v>
      </c>
      <c r="B77" s="31" t="s">
        <v>167</v>
      </c>
      <c r="C77" s="31" t="s">
        <v>168</v>
      </c>
      <c r="D77" s="31" t="s">
        <v>30</v>
      </c>
      <c r="E77" s="31" t="s">
        <v>19</v>
      </c>
      <c r="F77" s="32">
        <v>41071</v>
      </c>
      <c r="G77" s="33">
        <f>VALUE(MONTH(F77))</f>
        <v>6</v>
      </c>
      <c r="H77" s="34">
        <v>41</v>
      </c>
      <c r="I77" s="35">
        <v>9.99</v>
      </c>
      <c r="J77" s="36">
        <f>I77*H77</f>
        <v>409.59000000000003</v>
      </c>
    </row>
    <row r="78" spans="1:25" x14ac:dyDescent="0.35">
      <c r="A78" s="25">
        <v>23323</v>
      </c>
      <c r="B78" s="25" t="s">
        <v>169</v>
      </c>
      <c r="C78" s="25" t="s">
        <v>170</v>
      </c>
      <c r="D78" s="25" t="s">
        <v>136</v>
      </c>
      <c r="E78" s="25" t="s">
        <v>13</v>
      </c>
      <c r="F78" s="26">
        <v>41272</v>
      </c>
      <c r="G78" s="27">
        <f>VALUE(MONTH(F78))</f>
        <v>12</v>
      </c>
      <c r="H78" s="28">
        <v>135</v>
      </c>
      <c r="I78" s="29">
        <v>3</v>
      </c>
      <c r="J78" s="30">
        <f>I78*H78</f>
        <v>405</v>
      </c>
    </row>
    <row r="79" spans="1:25" x14ac:dyDescent="0.35">
      <c r="A79" s="31">
        <v>23267</v>
      </c>
      <c r="B79" s="31" t="s">
        <v>171</v>
      </c>
      <c r="C79" s="31" t="s">
        <v>172</v>
      </c>
      <c r="D79" s="31" t="s">
        <v>136</v>
      </c>
      <c r="E79" s="31" t="s">
        <v>13</v>
      </c>
      <c r="F79" s="32">
        <v>41101</v>
      </c>
      <c r="G79" s="33">
        <f>VALUE(MONTH(F79))</f>
        <v>7</v>
      </c>
      <c r="H79" s="34">
        <v>129</v>
      </c>
      <c r="I79" s="35">
        <v>3</v>
      </c>
      <c r="J79" s="36">
        <f>I79*H79</f>
        <v>387</v>
      </c>
    </row>
    <row r="80" spans="1:25" x14ac:dyDescent="0.35">
      <c r="A80" s="25">
        <v>23340</v>
      </c>
      <c r="B80" s="25" t="s">
        <v>173</v>
      </c>
      <c r="C80" s="25" t="s">
        <v>174</v>
      </c>
      <c r="D80" s="25" t="s">
        <v>99</v>
      </c>
      <c r="E80" s="25" t="s">
        <v>13</v>
      </c>
      <c r="F80" s="26">
        <v>41095</v>
      </c>
      <c r="G80" s="27">
        <f>VALUE(MONTH(F80))</f>
        <v>7</v>
      </c>
      <c r="H80" s="28">
        <v>85</v>
      </c>
      <c r="I80" s="29">
        <v>4.5</v>
      </c>
      <c r="J80" s="30">
        <f>I80*H80</f>
        <v>382.5</v>
      </c>
    </row>
    <row r="81" spans="1:10" x14ac:dyDescent="0.35">
      <c r="A81" s="31">
        <v>23269</v>
      </c>
      <c r="B81" s="31" t="s">
        <v>175</v>
      </c>
      <c r="C81" s="31" t="s">
        <v>157</v>
      </c>
      <c r="D81" s="31" t="s">
        <v>136</v>
      </c>
      <c r="E81" s="31" t="s">
        <v>13</v>
      </c>
      <c r="F81" s="32">
        <v>41063</v>
      </c>
      <c r="G81" s="33">
        <f>VALUE(MONTH(F81))</f>
        <v>6</v>
      </c>
      <c r="H81" s="34">
        <v>116</v>
      </c>
      <c r="I81" s="35">
        <v>3</v>
      </c>
      <c r="J81" s="36">
        <f>I81*H81</f>
        <v>348</v>
      </c>
    </row>
    <row r="82" spans="1:10" x14ac:dyDescent="0.35">
      <c r="A82" s="25">
        <v>23308</v>
      </c>
      <c r="B82" s="25" t="s">
        <v>176</v>
      </c>
      <c r="C82" s="25" t="s">
        <v>177</v>
      </c>
      <c r="D82" s="25" t="s">
        <v>136</v>
      </c>
      <c r="E82" s="25" t="s">
        <v>19</v>
      </c>
      <c r="F82" s="26">
        <v>41099</v>
      </c>
      <c r="G82" s="27">
        <f>VALUE(MONTH(F82))</f>
        <v>7</v>
      </c>
      <c r="H82" s="28">
        <v>112</v>
      </c>
      <c r="I82" s="29">
        <v>3</v>
      </c>
      <c r="J82" s="30">
        <f>I82*H82</f>
        <v>336</v>
      </c>
    </row>
    <row r="83" spans="1:10" x14ac:dyDescent="0.35">
      <c r="A83" s="31">
        <v>23356</v>
      </c>
      <c r="B83" s="31" t="s">
        <v>178</v>
      </c>
      <c r="C83" s="31" t="s">
        <v>179</v>
      </c>
      <c r="D83" s="31" t="s">
        <v>90</v>
      </c>
      <c r="E83" s="31" t="s">
        <v>13</v>
      </c>
      <c r="F83" s="32">
        <v>41081</v>
      </c>
      <c r="G83" s="33">
        <f>VALUE(MONTH(F83))</f>
        <v>6</v>
      </c>
      <c r="H83" s="34">
        <v>80</v>
      </c>
      <c r="I83" s="35">
        <v>3.99</v>
      </c>
      <c r="J83" s="36">
        <f>I83*H83</f>
        <v>319.20000000000005</v>
      </c>
    </row>
    <row r="84" spans="1:10" x14ac:dyDescent="0.35">
      <c r="A84" s="25">
        <v>23318</v>
      </c>
      <c r="B84" s="25" t="s">
        <v>180</v>
      </c>
      <c r="C84" s="25" t="s">
        <v>181</v>
      </c>
      <c r="D84" s="25" t="s">
        <v>65</v>
      </c>
      <c r="E84" s="25" t="s">
        <v>13</v>
      </c>
      <c r="F84" s="26">
        <v>41099</v>
      </c>
      <c r="G84" s="27">
        <f>VALUE(MONTH(F84))</f>
        <v>7</v>
      </c>
      <c r="H84" s="28">
        <v>48</v>
      </c>
      <c r="I84" s="29">
        <v>6.5</v>
      </c>
      <c r="J84" s="30">
        <f>I84*H84</f>
        <v>312</v>
      </c>
    </row>
    <row r="85" spans="1:10" x14ac:dyDescent="0.35">
      <c r="A85" s="31">
        <v>23357</v>
      </c>
      <c r="B85" s="31" t="s">
        <v>182</v>
      </c>
      <c r="C85" s="31" t="s">
        <v>138</v>
      </c>
      <c r="D85" s="31" t="s">
        <v>68</v>
      </c>
      <c r="E85" s="31" t="s">
        <v>19</v>
      </c>
      <c r="F85" s="32">
        <v>41107</v>
      </c>
      <c r="G85" s="33">
        <f>VALUE(MONTH(F85))</f>
        <v>7</v>
      </c>
      <c r="H85" s="34">
        <v>50</v>
      </c>
      <c r="I85" s="35">
        <v>6</v>
      </c>
      <c r="J85" s="36">
        <f>I85*H85</f>
        <v>300</v>
      </c>
    </row>
    <row r="86" spans="1:10" x14ac:dyDescent="0.35">
      <c r="A86" s="25">
        <v>23377</v>
      </c>
      <c r="B86" s="25" t="s">
        <v>183</v>
      </c>
      <c r="C86" s="25" t="s">
        <v>127</v>
      </c>
      <c r="D86" s="25" t="s">
        <v>101</v>
      </c>
      <c r="E86" s="25" t="s">
        <v>13</v>
      </c>
      <c r="F86" s="26">
        <v>41075</v>
      </c>
      <c r="G86" s="27">
        <f>VALUE(MONTH(F86))</f>
        <v>6</v>
      </c>
      <c r="H86" s="28">
        <v>43</v>
      </c>
      <c r="I86" s="29">
        <v>6.5</v>
      </c>
      <c r="J86" s="30">
        <f>I86*H86</f>
        <v>279.5</v>
      </c>
    </row>
    <row r="87" spans="1:10" x14ac:dyDescent="0.35">
      <c r="A87" s="31">
        <v>23311</v>
      </c>
      <c r="B87" s="31" t="s">
        <v>184</v>
      </c>
      <c r="C87" s="31" t="s">
        <v>185</v>
      </c>
      <c r="D87" s="31" t="s">
        <v>12</v>
      </c>
      <c r="E87" s="31" t="s">
        <v>19</v>
      </c>
      <c r="F87" s="32">
        <v>41072</v>
      </c>
      <c r="G87" s="33">
        <f>VALUE(MONTH(F87))</f>
        <v>6</v>
      </c>
      <c r="H87" s="34">
        <v>18</v>
      </c>
      <c r="I87" s="35">
        <v>14.5</v>
      </c>
      <c r="J87" s="36">
        <f>I87*H87</f>
        <v>261</v>
      </c>
    </row>
    <row r="88" spans="1:10" x14ac:dyDescent="0.35">
      <c r="A88" s="25">
        <v>23379</v>
      </c>
      <c r="B88" s="25" t="s">
        <v>186</v>
      </c>
      <c r="C88" s="25" t="s">
        <v>187</v>
      </c>
      <c r="D88" s="25" t="s">
        <v>90</v>
      </c>
      <c r="E88" s="25" t="s">
        <v>13</v>
      </c>
      <c r="F88" s="26">
        <v>41270</v>
      </c>
      <c r="G88" s="27">
        <f>VALUE(MONTH(F88))</f>
        <v>12</v>
      </c>
      <c r="H88" s="28">
        <v>65</v>
      </c>
      <c r="I88" s="29">
        <v>3.99</v>
      </c>
      <c r="J88" s="30">
        <f>I88*H88</f>
        <v>259.35000000000002</v>
      </c>
    </row>
    <row r="89" spans="1:10" x14ac:dyDescent="0.35">
      <c r="A89" s="31">
        <v>23360</v>
      </c>
      <c r="B89" s="31" t="s">
        <v>188</v>
      </c>
      <c r="C89" s="31" t="s">
        <v>172</v>
      </c>
      <c r="D89" s="31" t="s">
        <v>52</v>
      </c>
      <c r="E89" s="31" t="s">
        <v>13</v>
      </c>
      <c r="F89" s="32">
        <v>41073</v>
      </c>
      <c r="G89" s="33">
        <f>VALUE(MONTH(F89))</f>
        <v>6</v>
      </c>
      <c r="H89" s="34">
        <v>37</v>
      </c>
      <c r="I89" s="35">
        <v>6.99</v>
      </c>
      <c r="J89" s="36">
        <f>I89*H89</f>
        <v>258.63</v>
      </c>
    </row>
    <row r="90" spans="1:10" x14ac:dyDescent="0.35">
      <c r="A90" s="25">
        <v>23339</v>
      </c>
      <c r="B90" s="25" t="s">
        <v>189</v>
      </c>
      <c r="C90" s="25" t="s">
        <v>190</v>
      </c>
      <c r="D90" s="25" t="s">
        <v>68</v>
      </c>
      <c r="E90" s="25" t="s">
        <v>13</v>
      </c>
      <c r="F90" s="26">
        <v>41101</v>
      </c>
      <c r="G90" s="27">
        <f>VALUE(MONTH(F90))</f>
        <v>7</v>
      </c>
      <c r="H90" s="28">
        <v>41</v>
      </c>
      <c r="I90" s="29">
        <v>6</v>
      </c>
      <c r="J90" s="30">
        <f>I90*H90</f>
        <v>246</v>
      </c>
    </row>
    <row r="91" spans="1:10" x14ac:dyDescent="0.35">
      <c r="A91" s="31">
        <v>23341</v>
      </c>
      <c r="B91" s="31" t="s">
        <v>191</v>
      </c>
      <c r="C91" s="31" t="s">
        <v>192</v>
      </c>
      <c r="D91" s="31" t="s">
        <v>136</v>
      </c>
      <c r="E91" s="31" t="s">
        <v>19</v>
      </c>
      <c r="F91" s="32">
        <v>41026</v>
      </c>
      <c r="G91" s="33">
        <f>VALUE(MONTH(F91))</f>
        <v>4</v>
      </c>
      <c r="H91" s="34">
        <v>77</v>
      </c>
      <c r="I91" s="35">
        <v>3</v>
      </c>
      <c r="J91" s="36">
        <f>I91*H91</f>
        <v>231</v>
      </c>
    </row>
    <row r="92" spans="1:10" x14ac:dyDescent="0.35">
      <c r="A92" s="25">
        <v>23374</v>
      </c>
      <c r="B92" s="25" t="s">
        <v>193</v>
      </c>
      <c r="C92" s="25" t="s">
        <v>194</v>
      </c>
      <c r="D92" s="25" t="s">
        <v>90</v>
      </c>
      <c r="E92" s="25" t="s">
        <v>13</v>
      </c>
      <c r="F92" s="26">
        <v>41257</v>
      </c>
      <c r="G92" s="27">
        <f>VALUE(MONTH(F92))</f>
        <v>12</v>
      </c>
      <c r="H92" s="28">
        <v>57</v>
      </c>
      <c r="I92" s="29">
        <v>3.99</v>
      </c>
      <c r="J92" s="30">
        <f>I92*H92</f>
        <v>227.43</v>
      </c>
    </row>
    <row r="93" spans="1:10" x14ac:dyDescent="0.35">
      <c r="A93" s="31">
        <v>23273</v>
      </c>
      <c r="B93" s="31" t="s">
        <v>195</v>
      </c>
      <c r="C93" s="31" t="s">
        <v>196</v>
      </c>
      <c r="D93" s="31" t="s">
        <v>30</v>
      </c>
      <c r="E93" s="31" t="s">
        <v>13</v>
      </c>
      <c r="F93" s="32">
        <v>41256</v>
      </c>
      <c r="G93" s="33">
        <f>VALUE(MONTH(F93))</f>
        <v>12</v>
      </c>
      <c r="H93" s="34">
        <v>22</v>
      </c>
      <c r="I93" s="35">
        <v>9.99</v>
      </c>
      <c r="J93" s="36">
        <f>I93*H93</f>
        <v>219.78</v>
      </c>
    </row>
    <row r="94" spans="1:10" x14ac:dyDescent="0.35">
      <c r="A94" s="25">
        <v>23280</v>
      </c>
      <c r="B94" s="25" t="s">
        <v>197</v>
      </c>
      <c r="C94" s="25" t="s">
        <v>29</v>
      </c>
      <c r="D94" s="25" t="s">
        <v>52</v>
      </c>
      <c r="E94" s="25" t="s">
        <v>13</v>
      </c>
      <c r="F94" s="26">
        <v>41002</v>
      </c>
      <c r="G94" s="27">
        <f>VALUE(MONTH(F94))</f>
        <v>4</v>
      </c>
      <c r="H94" s="28">
        <v>30</v>
      </c>
      <c r="I94" s="29">
        <v>6.99</v>
      </c>
      <c r="J94" s="30">
        <f>I94*H94</f>
        <v>209.70000000000002</v>
      </c>
    </row>
    <row r="95" spans="1:10" x14ac:dyDescent="0.35">
      <c r="A95" s="31">
        <v>23370</v>
      </c>
      <c r="B95" s="31" t="s">
        <v>198</v>
      </c>
      <c r="C95" s="31" t="s">
        <v>67</v>
      </c>
      <c r="D95" s="31" t="s">
        <v>136</v>
      </c>
      <c r="E95" s="31" t="s">
        <v>19</v>
      </c>
      <c r="F95" s="32">
        <v>41028</v>
      </c>
      <c r="G95" s="33">
        <f>VALUE(MONTH(F95))</f>
        <v>4</v>
      </c>
      <c r="H95" s="34">
        <v>63</v>
      </c>
      <c r="I95" s="35">
        <v>3</v>
      </c>
      <c r="J95" s="36">
        <f>I95*H95</f>
        <v>189</v>
      </c>
    </row>
    <row r="96" spans="1:10" x14ac:dyDescent="0.35">
      <c r="A96" s="25">
        <v>23372</v>
      </c>
      <c r="B96" s="25" t="s">
        <v>199</v>
      </c>
      <c r="C96" s="25" t="s">
        <v>200</v>
      </c>
      <c r="D96" s="25" t="s">
        <v>101</v>
      </c>
      <c r="E96" s="25" t="s">
        <v>13</v>
      </c>
      <c r="F96" s="26">
        <v>41255</v>
      </c>
      <c r="G96" s="27">
        <f>VALUE(MONTH(F96))</f>
        <v>12</v>
      </c>
      <c r="H96" s="28">
        <v>22</v>
      </c>
      <c r="I96" s="29">
        <v>6.5</v>
      </c>
      <c r="J96" s="30">
        <f>I96*H96</f>
        <v>143</v>
      </c>
    </row>
    <row r="97" spans="1:10" x14ac:dyDescent="0.35">
      <c r="A97" s="31">
        <v>23265</v>
      </c>
      <c r="B97" s="31" t="s">
        <v>201</v>
      </c>
      <c r="C97" s="31" t="s">
        <v>202</v>
      </c>
      <c r="D97" s="31" t="s">
        <v>30</v>
      </c>
      <c r="E97" s="31" t="s">
        <v>19</v>
      </c>
      <c r="F97" s="32">
        <v>41248</v>
      </c>
      <c r="G97" s="33">
        <f>VALUE(MONTH(F97))</f>
        <v>12</v>
      </c>
      <c r="H97" s="34">
        <v>14</v>
      </c>
      <c r="I97" s="35">
        <v>9.99</v>
      </c>
      <c r="J97" s="36">
        <f>I97*H97</f>
        <v>139.86000000000001</v>
      </c>
    </row>
    <row r="98" spans="1:10" x14ac:dyDescent="0.35">
      <c r="A98" s="25">
        <v>23346</v>
      </c>
      <c r="B98" s="25" t="s">
        <v>203</v>
      </c>
      <c r="C98" s="25" t="s">
        <v>119</v>
      </c>
      <c r="D98" s="25" t="s">
        <v>30</v>
      </c>
      <c r="E98" s="25" t="s">
        <v>13</v>
      </c>
      <c r="F98" s="26">
        <v>41119</v>
      </c>
      <c r="G98" s="27">
        <f>VALUE(MONTH(F98))</f>
        <v>7</v>
      </c>
      <c r="H98" s="28">
        <v>13</v>
      </c>
      <c r="I98" s="29">
        <v>9.99</v>
      </c>
      <c r="J98" s="30">
        <f>I98*H98</f>
        <v>129.87</v>
      </c>
    </row>
    <row r="99" spans="1:10" x14ac:dyDescent="0.35">
      <c r="A99" s="31">
        <v>23312</v>
      </c>
      <c r="B99" s="31" t="s">
        <v>204</v>
      </c>
      <c r="C99" s="31" t="s">
        <v>205</v>
      </c>
      <c r="D99" s="31" t="s">
        <v>90</v>
      </c>
      <c r="E99" s="31" t="s">
        <v>13</v>
      </c>
      <c r="F99" s="32">
        <v>41096</v>
      </c>
      <c r="G99" s="33">
        <f>VALUE(MONTH(F99))</f>
        <v>7</v>
      </c>
      <c r="H99" s="34">
        <v>28</v>
      </c>
      <c r="I99" s="35">
        <v>3.99</v>
      </c>
      <c r="J99" s="36">
        <f>I99*H99</f>
        <v>111.72</v>
      </c>
    </row>
    <row r="100" spans="1:10" x14ac:dyDescent="0.35">
      <c r="A100" s="25">
        <v>23355</v>
      </c>
      <c r="B100" s="25" t="s">
        <v>206</v>
      </c>
      <c r="C100" s="25" t="s">
        <v>115</v>
      </c>
      <c r="D100" s="25" t="s">
        <v>77</v>
      </c>
      <c r="E100" s="25" t="s">
        <v>13</v>
      </c>
      <c r="F100" s="26">
        <v>41026</v>
      </c>
      <c r="G100" s="27">
        <f>VALUE(MONTH(F100))</f>
        <v>4</v>
      </c>
      <c r="H100" s="28">
        <v>16</v>
      </c>
      <c r="I100" s="29">
        <v>4.5</v>
      </c>
      <c r="J100" s="30">
        <f>I100*H100</f>
        <v>72</v>
      </c>
    </row>
    <row r="101" spans="1:10" x14ac:dyDescent="0.35">
      <c r="A101" s="31">
        <v>23322</v>
      </c>
      <c r="B101" s="31" t="s">
        <v>207</v>
      </c>
      <c r="C101" s="31" t="s">
        <v>79</v>
      </c>
      <c r="D101" s="31" t="s">
        <v>136</v>
      </c>
      <c r="E101" s="31" t="s">
        <v>19</v>
      </c>
      <c r="F101" s="32">
        <v>41009</v>
      </c>
      <c r="G101" s="33">
        <f>VALUE(MONTH(F101))</f>
        <v>4</v>
      </c>
      <c r="H101" s="34">
        <v>20</v>
      </c>
      <c r="I101" s="35">
        <v>3</v>
      </c>
      <c r="J101" s="36">
        <f>I101*H101</f>
        <v>60</v>
      </c>
    </row>
    <row r="102" spans="1:10" x14ac:dyDescent="0.35">
      <c r="A102" s="25">
        <v>23298</v>
      </c>
      <c r="B102" s="25" t="s">
        <v>208</v>
      </c>
      <c r="C102" s="25" t="s">
        <v>209</v>
      </c>
      <c r="D102" s="25" t="s">
        <v>77</v>
      </c>
      <c r="E102" s="25" t="s">
        <v>16</v>
      </c>
      <c r="F102" s="26">
        <v>41118</v>
      </c>
      <c r="G102" s="27">
        <f>VALUE(MONTH(F102))</f>
        <v>7</v>
      </c>
      <c r="H102" s="28">
        <v>12</v>
      </c>
      <c r="I102" s="29">
        <v>4.5</v>
      </c>
      <c r="J102" s="30">
        <f>I102*H102</f>
        <v>54</v>
      </c>
    </row>
    <row r="103" spans="1:10" x14ac:dyDescent="0.35">
      <c r="A103" s="31">
        <v>23367</v>
      </c>
      <c r="B103" s="31" t="s">
        <v>210</v>
      </c>
      <c r="C103" s="31" t="s">
        <v>211</v>
      </c>
      <c r="D103" s="31" t="s">
        <v>77</v>
      </c>
      <c r="E103" s="31" t="s">
        <v>19</v>
      </c>
      <c r="F103" s="32">
        <v>41023</v>
      </c>
      <c r="G103" s="33">
        <f>VALUE(MONTH(F103))</f>
        <v>4</v>
      </c>
      <c r="H103" s="34">
        <v>10</v>
      </c>
      <c r="I103" s="35">
        <v>4.5</v>
      </c>
      <c r="J103" s="36">
        <f>I103*H103</f>
        <v>45</v>
      </c>
    </row>
    <row r="104" spans="1:10" x14ac:dyDescent="0.35">
      <c r="A104" s="25">
        <v>23334</v>
      </c>
      <c r="B104" s="25" t="s">
        <v>212</v>
      </c>
      <c r="C104" s="25" t="s">
        <v>107</v>
      </c>
      <c r="D104" s="25" t="s">
        <v>136</v>
      </c>
      <c r="E104" s="25" t="s">
        <v>13</v>
      </c>
      <c r="F104" s="26">
        <v>41260</v>
      </c>
      <c r="G104" s="27">
        <f>VALUE(MONTH(F104))</f>
        <v>12</v>
      </c>
      <c r="H104" s="28">
        <v>14</v>
      </c>
      <c r="I104" s="29">
        <v>3</v>
      </c>
      <c r="J104" s="30">
        <f>I104*H104</f>
        <v>42</v>
      </c>
    </row>
    <row r="105" spans="1:10" x14ac:dyDescent="0.35">
      <c r="A105" s="31">
        <v>23285</v>
      </c>
      <c r="B105" s="31" t="s">
        <v>213</v>
      </c>
      <c r="C105" s="31" t="s">
        <v>127</v>
      </c>
      <c r="D105" s="31" t="s">
        <v>99</v>
      </c>
      <c r="E105" s="31" t="s">
        <v>19</v>
      </c>
      <c r="F105" s="32">
        <v>41114</v>
      </c>
      <c r="G105" s="33">
        <f>VALUE(MONTH(F105))</f>
        <v>7</v>
      </c>
      <c r="H105" s="34">
        <v>9</v>
      </c>
      <c r="I105" s="35">
        <v>4.5</v>
      </c>
      <c r="J105" s="36">
        <f>I105*H105</f>
        <v>40.5</v>
      </c>
    </row>
    <row r="106" spans="1:10" x14ac:dyDescent="0.35">
      <c r="A106" s="25">
        <v>23375</v>
      </c>
      <c r="B106" s="25" t="s">
        <v>214</v>
      </c>
      <c r="C106" s="25" t="s">
        <v>115</v>
      </c>
      <c r="D106" s="25" t="s">
        <v>52</v>
      </c>
      <c r="E106" s="25" t="s">
        <v>19</v>
      </c>
      <c r="F106" s="26">
        <v>41029</v>
      </c>
      <c r="G106" s="27">
        <f>VALUE(MONTH(F106))</f>
        <v>4</v>
      </c>
      <c r="H106" s="28">
        <v>5</v>
      </c>
      <c r="I106" s="29">
        <v>6.99</v>
      </c>
      <c r="J106" s="30">
        <f>I106*H106</f>
        <v>34.950000000000003</v>
      </c>
    </row>
    <row r="107" spans="1:10" x14ac:dyDescent="0.35">
      <c r="A107" s="31">
        <v>23336</v>
      </c>
      <c r="B107" s="31" t="s">
        <v>215</v>
      </c>
      <c r="C107" s="31" t="s">
        <v>216</v>
      </c>
      <c r="D107" s="31" t="s">
        <v>99</v>
      </c>
      <c r="E107" s="31" t="s">
        <v>19</v>
      </c>
      <c r="F107" s="32">
        <v>41091</v>
      </c>
      <c r="G107" s="33">
        <f>VALUE(MONTH(F107))</f>
        <v>7</v>
      </c>
      <c r="H107" s="34">
        <v>7</v>
      </c>
      <c r="I107" s="35">
        <v>4.5</v>
      </c>
      <c r="J107" s="36">
        <f>I107*H107</f>
        <v>31.5</v>
      </c>
    </row>
    <row r="108" spans="1:10" x14ac:dyDescent="0.35">
      <c r="A108" s="25">
        <v>23279</v>
      </c>
      <c r="B108" s="25" t="s">
        <v>217</v>
      </c>
      <c r="C108" s="25" t="s">
        <v>190</v>
      </c>
      <c r="D108" s="25" t="s">
        <v>136</v>
      </c>
      <c r="E108" s="25" t="s">
        <v>13</v>
      </c>
      <c r="F108" s="26">
        <v>41020</v>
      </c>
      <c r="G108" s="27">
        <f>VALUE(MONTH(F108))</f>
        <v>4</v>
      </c>
      <c r="H108" s="28">
        <v>10</v>
      </c>
      <c r="I108" s="29">
        <v>3</v>
      </c>
      <c r="J108" s="30">
        <f>I108*H108</f>
        <v>30</v>
      </c>
    </row>
  </sheetData>
  <autoFilter ref="A1:J108" xr:uid="{99B17309-7C38-4BFA-A89F-E7CB525BBF87}"/>
  <conditionalFormatting sqref="A2:J108">
    <cfRule type="expression" dxfId="1" priority="1">
      <formula>MOD(ROW(A2),2)</formula>
    </cfRule>
  </conditionalFormatting>
  <pageMargins left="0.7" right="0.7" top="0.75" bottom="0.75" header="0.3" footer="0.3"/>
  <ignoredErrors>
    <ignoredError sqref="M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432C-8350-4EFA-9C37-8BEDFF1E931F}">
  <sheetPr>
    <tabColor rgb="FF00B0F0"/>
  </sheetPr>
  <dimension ref="B1:F77"/>
  <sheetViews>
    <sheetView showGridLines="0" workbookViewId="0">
      <selection activeCell="C10" sqref="C10"/>
    </sheetView>
  </sheetViews>
  <sheetFormatPr defaultRowHeight="14.5" x14ac:dyDescent="0.35"/>
  <cols>
    <col min="2" max="2" width="23" customWidth="1"/>
    <col min="3" max="3" width="23.453125" customWidth="1"/>
  </cols>
  <sheetData>
    <row r="1" spans="2:6" ht="18.5" x14ac:dyDescent="0.45">
      <c r="B1" s="1" t="s">
        <v>218</v>
      </c>
      <c r="C1" s="2"/>
      <c r="D1" s="2"/>
      <c r="E1" s="2"/>
      <c r="F1" s="2"/>
    </row>
    <row r="2" spans="2:6" x14ac:dyDescent="0.35">
      <c r="B2" s="3"/>
      <c r="C2" s="3"/>
      <c r="D2" s="3"/>
      <c r="E2" s="2"/>
      <c r="F2" s="2"/>
    </row>
    <row r="3" spans="2:6" x14ac:dyDescent="0.35">
      <c r="B3" s="4"/>
      <c r="C3" s="4"/>
      <c r="D3" s="4"/>
      <c r="E3" s="2"/>
      <c r="F3" s="2"/>
    </row>
    <row r="4" spans="2:6" x14ac:dyDescent="0.35">
      <c r="B4" s="4"/>
      <c r="C4" s="4"/>
      <c r="D4" s="4"/>
      <c r="E4" s="2"/>
      <c r="F4" s="2"/>
    </row>
    <row r="5" spans="2:6" x14ac:dyDescent="0.35">
      <c r="B5" s="5" t="s">
        <v>219</v>
      </c>
      <c r="C5" s="6"/>
      <c r="D5" s="6"/>
      <c r="E5" s="2"/>
      <c r="F5" s="2"/>
    </row>
    <row r="6" spans="2:6" x14ac:dyDescent="0.35">
      <c r="B6" s="5" t="s">
        <v>220</v>
      </c>
      <c r="C6" s="7"/>
      <c r="D6" s="7"/>
      <c r="E6" s="2"/>
      <c r="F6" s="2"/>
    </row>
    <row r="7" spans="2:6" x14ac:dyDescent="0.35">
      <c r="B7" s="8"/>
      <c r="C7" s="9"/>
      <c r="D7" s="9"/>
      <c r="E7" s="2"/>
      <c r="F7" s="2"/>
    </row>
    <row r="8" spans="2:6" x14ac:dyDescent="0.35">
      <c r="B8" s="38" t="s">
        <v>0</v>
      </c>
      <c r="C8" s="38" t="s">
        <v>221</v>
      </c>
      <c r="D8" s="2"/>
      <c r="E8" s="2"/>
      <c r="F8" s="2"/>
    </row>
    <row r="9" spans="2:6" x14ac:dyDescent="0.35">
      <c r="B9" s="39">
        <v>23265</v>
      </c>
      <c r="C9" s="39" t="e">
        <f>VLOOKUP(B9,VLookup!A2:J108,2,FALSE)</f>
        <v>#N/A</v>
      </c>
      <c r="D9" s="2"/>
      <c r="E9" s="2"/>
      <c r="F9" s="2"/>
    </row>
    <row r="10" spans="2:6" x14ac:dyDescent="0.35">
      <c r="B10" s="39">
        <v>23315</v>
      </c>
      <c r="C10" s="39"/>
      <c r="D10" s="2"/>
      <c r="E10" s="2"/>
      <c r="F10" s="2"/>
    </row>
    <row r="11" spans="2:6" x14ac:dyDescent="0.35">
      <c r="B11" s="2"/>
      <c r="C11" s="2"/>
      <c r="D11" s="2"/>
      <c r="E11" s="2"/>
      <c r="F11" s="2"/>
    </row>
    <row r="12" spans="2:6" x14ac:dyDescent="0.35">
      <c r="B12" s="2"/>
      <c r="C12" s="2"/>
      <c r="D12" s="2"/>
      <c r="E12" s="2"/>
      <c r="F12" s="2"/>
    </row>
    <row r="13" spans="2:6" x14ac:dyDescent="0.35">
      <c r="B13" s="2"/>
      <c r="C13" s="2"/>
      <c r="D13" s="2"/>
      <c r="E13" s="2"/>
      <c r="F13" s="2"/>
    </row>
    <row r="14" spans="2:6" ht="18.5" x14ac:dyDescent="0.45">
      <c r="B14" s="1" t="s">
        <v>222</v>
      </c>
      <c r="C14" s="2"/>
      <c r="D14" s="2"/>
      <c r="E14" s="2"/>
      <c r="F14" s="2"/>
    </row>
    <row r="15" spans="2:6" ht="18.5" x14ac:dyDescent="0.45">
      <c r="B15" s="1"/>
      <c r="C15" s="2"/>
      <c r="D15" s="2"/>
      <c r="E15" s="2"/>
      <c r="F15" s="2"/>
    </row>
    <row r="16" spans="2:6" x14ac:dyDescent="0.35">
      <c r="B16" s="5" t="s">
        <v>223</v>
      </c>
      <c r="C16" s="2"/>
      <c r="D16" s="2"/>
      <c r="E16" s="2"/>
      <c r="F16" s="2"/>
    </row>
    <row r="17" spans="2:6" ht="18.5" x14ac:dyDescent="0.45">
      <c r="B17" s="1"/>
      <c r="C17" s="2"/>
      <c r="D17" s="2"/>
      <c r="E17" s="2"/>
      <c r="F17" s="2"/>
    </row>
    <row r="18" spans="2:6" x14ac:dyDescent="0.35">
      <c r="B18" s="38" t="s">
        <v>0</v>
      </c>
      <c r="C18" s="38" t="s">
        <v>4</v>
      </c>
      <c r="D18" s="2"/>
      <c r="E18" s="2"/>
      <c r="F18" s="2"/>
    </row>
    <row r="19" spans="2:6" x14ac:dyDescent="0.35">
      <c r="B19" s="39">
        <v>23265</v>
      </c>
      <c r="C19" s="39" t="e">
        <f>VLOOKUP(23265,VLookup!A2:J108,5,TRUE)</f>
        <v>#N/A</v>
      </c>
      <c r="D19" s="2"/>
      <c r="E19" s="2"/>
      <c r="F19" s="2"/>
    </row>
    <row r="20" spans="2:6" x14ac:dyDescent="0.35">
      <c r="B20" s="39">
        <v>23378</v>
      </c>
      <c r="C20" s="39"/>
      <c r="D20" s="2"/>
      <c r="E20" s="2"/>
      <c r="F20" s="2"/>
    </row>
    <row r="21" spans="2:6" x14ac:dyDescent="0.35">
      <c r="B21" s="39">
        <v>23288</v>
      </c>
      <c r="C21" s="39"/>
      <c r="D21" s="2"/>
      <c r="E21" s="2"/>
      <c r="F21" s="2"/>
    </row>
    <row r="22" spans="2:6" x14ac:dyDescent="0.35">
      <c r="B22" s="39">
        <v>23347</v>
      </c>
      <c r="C22" s="39"/>
      <c r="D22" s="2"/>
      <c r="E22" s="2"/>
      <c r="F22" s="2"/>
    </row>
    <row r="23" spans="2:6" x14ac:dyDescent="0.35">
      <c r="B23" s="6"/>
      <c r="C23" s="6"/>
      <c r="D23" s="2"/>
      <c r="E23" s="2"/>
      <c r="F23" s="2"/>
    </row>
    <row r="24" spans="2:6" x14ac:dyDescent="0.35">
      <c r="B24" s="6"/>
      <c r="C24" s="6"/>
      <c r="D24" s="2"/>
      <c r="E24" s="2"/>
      <c r="F24" s="2"/>
    </row>
    <row r="25" spans="2:6" x14ac:dyDescent="0.35">
      <c r="B25" s="4"/>
      <c r="C25" s="4"/>
      <c r="D25" s="4"/>
      <c r="E25" s="2"/>
      <c r="F25" s="2"/>
    </row>
    <row r="26" spans="2:6" x14ac:dyDescent="0.35">
      <c r="B26" s="40" t="s">
        <v>0</v>
      </c>
      <c r="C26" s="40" t="s">
        <v>4</v>
      </c>
      <c r="D26" s="40" t="s">
        <v>7</v>
      </c>
      <c r="E26" s="40" t="s">
        <v>9</v>
      </c>
      <c r="F26" s="13"/>
    </row>
    <row r="27" spans="2:6" x14ac:dyDescent="0.35">
      <c r="B27" s="39">
        <v>23353</v>
      </c>
      <c r="C27" s="39"/>
      <c r="D27" s="39"/>
      <c r="E27" s="39"/>
      <c r="F27" s="2"/>
    </row>
    <row r="28" spans="2:6" x14ac:dyDescent="0.35">
      <c r="B28" s="39">
        <v>23289</v>
      </c>
      <c r="C28" s="39"/>
      <c r="D28" s="39"/>
      <c r="E28" s="39"/>
      <c r="F28" s="2"/>
    </row>
    <row r="29" spans="2:6" x14ac:dyDescent="0.35">
      <c r="B29" s="39">
        <v>23378</v>
      </c>
      <c r="C29" s="39"/>
      <c r="D29" s="39"/>
      <c r="E29" s="39"/>
      <c r="F29" s="2"/>
    </row>
    <row r="30" spans="2:6" x14ac:dyDescent="0.35">
      <c r="B30" s="39">
        <v>23283</v>
      </c>
      <c r="C30" s="39"/>
      <c r="D30" s="39"/>
      <c r="E30" s="39"/>
      <c r="F30" s="2"/>
    </row>
    <row r="31" spans="2:6" x14ac:dyDescent="0.35">
      <c r="B31" s="39">
        <v>23324</v>
      </c>
      <c r="C31" s="39"/>
      <c r="D31" s="39"/>
      <c r="E31" s="39"/>
      <c r="F31" s="2"/>
    </row>
    <row r="32" spans="2:6" x14ac:dyDescent="0.35">
      <c r="B32" s="39">
        <v>23303</v>
      </c>
      <c r="C32" s="39"/>
      <c r="D32" s="39"/>
      <c r="E32" s="39"/>
      <c r="F32" s="2"/>
    </row>
    <row r="33" spans="2:6" x14ac:dyDescent="0.35">
      <c r="B33" s="2"/>
      <c r="C33" s="2"/>
      <c r="D33" s="2"/>
      <c r="E33" s="2"/>
      <c r="F33" s="2"/>
    </row>
    <row r="34" spans="2:6" ht="18.5" x14ac:dyDescent="0.45">
      <c r="B34" s="1"/>
      <c r="C34" s="2"/>
      <c r="D34" s="2"/>
      <c r="E34" s="2"/>
      <c r="F34" s="2"/>
    </row>
    <row r="35" spans="2:6" ht="18.5" x14ac:dyDescent="0.45">
      <c r="B35" s="1"/>
      <c r="C35" s="2"/>
      <c r="D35" s="2"/>
      <c r="E35" s="2"/>
      <c r="F35" s="2"/>
    </row>
    <row r="36" spans="2:6" ht="18.5" x14ac:dyDescent="0.45">
      <c r="B36" s="1" t="s">
        <v>224</v>
      </c>
      <c r="C36" s="2"/>
      <c r="D36" s="2"/>
      <c r="E36" s="2"/>
      <c r="F36" s="2"/>
    </row>
    <row r="37" spans="2:6" ht="18.5" x14ac:dyDescent="0.45">
      <c r="B37" s="1"/>
      <c r="C37" s="2"/>
      <c r="D37" s="2"/>
      <c r="E37" s="2"/>
      <c r="F37" s="2"/>
    </row>
    <row r="38" spans="2:6" x14ac:dyDescent="0.35">
      <c r="B38" s="5" t="s">
        <v>225</v>
      </c>
      <c r="C38" s="2"/>
      <c r="D38" s="2"/>
      <c r="E38" s="2"/>
      <c r="F38" s="2"/>
    </row>
    <row r="39" spans="2:6" ht="18.5" x14ac:dyDescent="0.45">
      <c r="B39" s="1"/>
      <c r="C39" s="2"/>
      <c r="D39" s="2"/>
      <c r="E39" s="2"/>
      <c r="F39" s="2"/>
    </row>
    <row r="40" spans="2:6" x14ac:dyDescent="0.35">
      <c r="B40" s="5"/>
      <c r="C40" s="5"/>
      <c r="D40" s="7"/>
      <c r="E40" s="2"/>
      <c r="F40" s="2"/>
    </row>
    <row r="41" spans="2:6" x14ac:dyDescent="0.35">
      <c r="B41" s="10" t="s">
        <v>0</v>
      </c>
      <c r="C41" s="10" t="s">
        <v>2</v>
      </c>
      <c r="D41" s="10" t="s">
        <v>221</v>
      </c>
      <c r="E41" s="10" t="s">
        <v>9</v>
      </c>
      <c r="F41" s="2"/>
    </row>
    <row r="42" spans="2:6" x14ac:dyDescent="0.35">
      <c r="B42" s="11">
        <v>23265</v>
      </c>
      <c r="C42" s="11"/>
      <c r="D42" s="11"/>
      <c r="E42" s="15"/>
      <c r="F42" s="2"/>
    </row>
    <row r="43" spans="2:6" x14ac:dyDescent="0.35">
      <c r="B43" s="14">
        <v>23315</v>
      </c>
      <c r="C43" s="11"/>
      <c r="D43" s="11"/>
      <c r="E43" s="15"/>
      <c r="F43" s="2"/>
    </row>
    <row r="44" spans="2:6" x14ac:dyDescent="0.35">
      <c r="B44" s="14">
        <v>30000</v>
      </c>
      <c r="C44" s="11"/>
      <c r="D44" s="11"/>
      <c r="E44" s="15"/>
      <c r="F44" s="2"/>
    </row>
    <row r="45" spans="2:6" x14ac:dyDescent="0.35">
      <c r="B45" s="14">
        <v>40000</v>
      </c>
      <c r="C45" s="11"/>
      <c r="D45" s="11"/>
      <c r="E45" s="15"/>
      <c r="F45" s="2"/>
    </row>
    <row r="46" spans="2:6" x14ac:dyDescent="0.35">
      <c r="B46" s="14">
        <v>23367</v>
      </c>
      <c r="C46" s="11"/>
      <c r="D46" s="11"/>
      <c r="E46" s="15"/>
      <c r="F46" s="2"/>
    </row>
    <row r="47" spans="2:6" x14ac:dyDescent="0.35">
      <c r="B47" s="14">
        <v>23326</v>
      </c>
      <c r="C47" s="11"/>
      <c r="D47" s="11"/>
      <c r="E47" s="15"/>
      <c r="F47" s="2"/>
    </row>
    <row r="48" spans="2:6" x14ac:dyDescent="0.35">
      <c r="B48" s="14">
        <v>35000</v>
      </c>
      <c r="C48" s="11"/>
      <c r="D48" s="11"/>
      <c r="E48" s="15"/>
      <c r="F48" s="2"/>
    </row>
    <row r="49" spans="2:6" x14ac:dyDescent="0.35">
      <c r="B49" s="4"/>
      <c r="C49" s="4"/>
      <c r="D49" s="16" t="s">
        <v>226</v>
      </c>
      <c r="E49" s="17">
        <f>SUM(E42:E48)</f>
        <v>0</v>
      </c>
      <c r="F49" s="2"/>
    </row>
    <row r="50" spans="2:6" x14ac:dyDescent="0.35">
      <c r="B50" s="4"/>
      <c r="C50" s="4"/>
      <c r="D50" s="4"/>
      <c r="E50" s="2"/>
      <c r="F50" s="2"/>
    </row>
    <row r="51" spans="2:6" x14ac:dyDescent="0.35">
      <c r="B51" s="5" t="s">
        <v>219</v>
      </c>
      <c r="C51" s="6"/>
      <c r="D51" s="6"/>
      <c r="E51" s="2"/>
      <c r="F51" s="2"/>
    </row>
    <row r="52" spans="2:6" x14ac:dyDescent="0.35">
      <c r="B52" s="5" t="s">
        <v>220</v>
      </c>
      <c r="C52" s="7"/>
      <c r="D52" s="7"/>
      <c r="E52" s="2"/>
      <c r="F52" s="2"/>
    </row>
    <row r="53" spans="2:6" x14ac:dyDescent="0.35">
      <c r="B53" s="8"/>
      <c r="C53" s="9"/>
      <c r="D53" s="9"/>
      <c r="E53" s="2"/>
      <c r="F53" s="2"/>
    </row>
    <row r="54" spans="2:6" x14ac:dyDescent="0.35">
      <c r="B54" s="10" t="s">
        <v>0</v>
      </c>
      <c r="C54" s="10" t="s">
        <v>221</v>
      </c>
      <c r="D54" s="10" t="s">
        <v>9</v>
      </c>
      <c r="E54" s="2"/>
      <c r="F54" s="2"/>
    </row>
    <row r="55" spans="2:6" x14ac:dyDescent="0.35">
      <c r="B55" s="11">
        <v>23265</v>
      </c>
      <c r="C55" s="11"/>
      <c r="D55" s="11"/>
      <c r="E55" s="2"/>
      <c r="F55" s="2"/>
    </row>
    <row r="56" spans="2:6" x14ac:dyDescent="0.35">
      <c r="B56" s="11">
        <v>40000</v>
      </c>
      <c r="C56" s="11"/>
      <c r="D56" s="11"/>
      <c r="E56" s="2"/>
      <c r="F56" s="2"/>
    </row>
    <row r="57" spans="2:6" x14ac:dyDescent="0.35">
      <c r="B57" s="11">
        <v>23367</v>
      </c>
      <c r="C57" s="11"/>
      <c r="D57" s="11"/>
      <c r="E57" s="2"/>
      <c r="F57" s="2"/>
    </row>
    <row r="58" spans="2:6" x14ac:dyDescent="0.35">
      <c r="B58" s="6"/>
      <c r="C58" s="6"/>
      <c r="D58" s="6"/>
      <c r="E58" s="2"/>
      <c r="F58" s="2"/>
    </row>
    <row r="59" spans="2:6" x14ac:dyDescent="0.35">
      <c r="B59" s="6"/>
      <c r="C59" s="6"/>
      <c r="D59" s="6"/>
      <c r="E59" s="2"/>
      <c r="F59" s="2"/>
    </row>
    <row r="60" spans="2:6" x14ac:dyDescent="0.35">
      <c r="B60" s="6"/>
      <c r="C60" s="16" t="s">
        <v>226</v>
      </c>
      <c r="D60" s="18"/>
      <c r="E60" s="2"/>
      <c r="F60" s="2"/>
    </row>
    <row r="61" spans="2:6" x14ac:dyDescent="0.35">
      <c r="B61" s="6"/>
      <c r="C61" s="6"/>
      <c r="D61" s="6"/>
      <c r="E61" s="2"/>
      <c r="F61" s="2"/>
    </row>
    <row r="62" spans="2:6" x14ac:dyDescent="0.35">
      <c r="B62" s="2"/>
      <c r="C62" s="2"/>
      <c r="D62" s="2"/>
      <c r="E62" s="2"/>
      <c r="F62" s="2"/>
    </row>
    <row r="63" spans="2:6" ht="18.5" x14ac:dyDescent="0.45">
      <c r="B63" s="1" t="s">
        <v>227</v>
      </c>
      <c r="C63" s="2"/>
      <c r="D63" s="2"/>
      <c r="E63" s="2"/>
      <c r="F63" s="2"/>
    </row>
    <row r="64" spans="2:6" ht="18.5" x14ac:dyDescent="0.45">
      <c r="B64" s="1"/>
      <c r="C64" s="2"/>
      <c r="D64" s="2"/>
      <c r="E64" s="2"/>
      <c r="F64" s="2"/>
    </row>
    <row r="65" spans="2:6" x14ac:dyDescent="0.35">
      <c r="B65" s="5" t="s">
        <v>228</v>
      </c>
      <c r="C65" s="2"/>
      <c r="D65" s="2"/>
      <c r="E65" s="2"/>
      <c r="F65" s="2"/>
    </row>
    <row r="66" spans="2:6" x14ac:dyDescent="0.35">
      <c r="B66" s="2"/>
      <c r="C66" s="2"/>
      <c r="D66" s="2"/>
      <c r="E66" s="2"/>
      <c r="F66" s="2"/>
    </row>
    <row r="67" spans="2:6" x14ac:dyDescent="0.35">
      <c r="B67" s="10" t="s">
        <v>0</v>
      </c>
      <c r="C67" s="10" t="s">
        <v>8</v>
      </c>
      <c r="D67" s="2"/>
      <c r="E67" s="2"/>
      <c r="F67" s="2"/>
    </row>
    <row r="68" spans="2:6" x14ac:dyDescent="0.35">
      <c r="B68" s="11">
        <v>23265</v>
      </c>
      <c r="C68" s="19"/>
      <c r="D68" s="2"/>
      <c r="E68" s="2"/>
      <c r="F68" s="2"/>
    </row>
    <row r="69" spans="2:6" x14ac:dyDescent="0.35">
      <c r="B69" s="11">
        <v>23315</v>
      </c>
      <c r="C69" s="19"/>
      <c r="D69" s="2"/>
      <c r="E69" s="2"/>
      <c r="F69" s="2"/>
    </row>
    <row r="70" spans="2:6" x14ac:dyDescent="0.35">
      <c r="B70" s="11">
        <v>30000</v>
      </c>
      <c r="C70" s="19"/>
      <c r="D70" s="2"/>
      <c r="E70" s="2"/>
      <c r="F70" s="2"/>
    </row>
    <row r="71" spans="2:6" x14ac:dyDescent="0.35">
      <c r="B71" s="11">
        <v>23377</v>
      </c>
      <c r="C71" s="19"/>
      <c r="D71" s="2"/>
      <c r="E71" s="2"/>
      <c r="F71" s="2"/>
    </row>
    <row r="72" spans="2:6" x14ac:dyDescent="0.35">
      <c r="B72" s="11">
        <v>23311</v>
      </c>
      <c r="C72" s="19"/>
      <c r="D72" s="2"/>
      <c r="E72" s="2"/>
      <c r="F72" s="2"/>
    </row>
    <row r="73" spans="2:6" x14ac:dyDescent="0.35">
      <c r="B73" s="11">
        <v>23371.5</v>
      </c>
      <c r="C73" s="19"/>
      <c r="D73" s="2"/>
      <c r="E73" s="2"/>
      <c r="F73" s="2"/>
    </row>
    <row r="74" spans="2:6" x14ac:dyDescent="0.35">
      <c r="B74" s="2"/>
      <c r="C74" s="2"/>
      <c r="D74" s="2"/>
      <c r="E74" s="2"/>
      <c r="F74" s="2"/>
    </row>
    <row r="75" spans="2:6" x14ac:dyDescent="0.35">
      <c r="B75" s="16" t="s">
        <v>229</v>
      </c>
      <c r="C75" s="17"/>
      <c r="D75" s="2"/>
      <c r="E75" s="2"/>
      <c r="F75" s="2"/>
    </row>
    <row r="76" spans="2:6" x14ac:dyDescent="0.35">
      <c r="B76" s="2"/>
      <c r="C76" s="2"/>
      <c r="D76" s="2"/>
      <c r="E76" s="2"/>
      <c r="F76" s="2"/>
    </row>
    <row r="77" spans="2:6" x14ac:dyDescent="0.35">
      <c r="B77" s="2"/>
      <c r="C77" s="2"/>
      <c r="D77" s="2"/>
      <c r="E77" s="2"/>
      <c r="F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3559-FE3B-4E08-8889-0BBA7C7EC9D6}">
  <sheetPr>
    <tabColor rgb="FF002060"/>
  </sheetPr>
  <dimension ref="B1:F77"/>
  <sheetViews>
    <sheetView showGridLines="0" workbookViewId="0">
      <selection activeCell="B19" sqref="B19"/>
    </sheetView>
  </sheetViews>
  <sheetFormatPr defaultRowHeight="14.5" x14ac:dyDescent="0.35"/>
  <cols>
    <col min="2" max="2" width="29.26953125" customWidth="1"/>
    <col min="3" max="3" width="26" customWidth="1"/>
    <col min="4" max="4" width="20.7265625" customWidth="1"/>
    <col min="5" max="5" width="18.453125" customWidth="1"/>
  </cols>
  <sheetData>
    <row r="1" spans="2:6" ht="18.5" x14ac:dyDescent="0.45">
      <c r="B1" s="1" t="s">
        <v>218</v>
      </c>
      <c r="C1" s="2"/>
      <c r="D1" s="2"/>
      <c r="E1" s="2"/>
      <c r="F1" s="2"/>
    </row>
    <row r="2" spans="2:6" x14ac:dyDescent="0.35">
      <c r="B2" s="3"/>
      <c r="C2" s="3"/>
      <c r="D2" s="3"/>
      <c r="E2" s="2"/>
      <c r="F2" s="2"/>
    </row>
    <row r="3" spans="2:6" x14ac:dyDescent="0.35">
      <c r="B3" s="4"/>
      <c r="C3" s="4"/>
      <c r="D3" s="4"/>
      <c r="E3" s="2"/>
      <c r="F3" s="2"/>
    </row>
    <row r="4" spans="2:6" x14ac:dyDescent="0.35">
      <c r="B4" s="4"/>
      <c r="C4" s="4"/>
      <c r="D4" s="4"/>
      <c r="E4" s="2"/>
      <c r="F4" s="2"/>
    </row>
    <row r="5" spans="2:6" x14ac:dyDescent="0.35">
      <c r="B5" s="5" t="s">
        <v>219</v>
      </c>
      <c r="C5" s="6"/>
      <c r="D5" s="6"/>
      <c r="E5" s="2"/>
      <c r="F5" s="2"/>
    </row>
    <row r="6" spans="2:6" x14ac:dyDescent="0.35">
      <c r="B6" s="5" t="s">
        <v>230</v>
      </c>
      <c r="C6" s="7"/>
      <c r="D6" s="7"/>
      <c r="E6" s="2"/>
      <c r="F6" s="2"/>
    </row>
    <row r="7" spans="2:6" x14ac:dyDescent="0.35">
      <c r="B7" s="8"/>
      <c r="C7" s="9"/>
      <c r="D7" s="9"/>
      <c r="E7" s="2"/>
      <c r="F7" s="2"/>
    </row>
    <row r="8" spans="2:6" x14ac:dyDescent="0.35">
      <c r="B8" s="10" t="s">
        <v>0</v>
      </c>
      <c r="C8" s="10" t="s">
        <v>221</v>
      </c>
      <c r="D8" s="2"/>
      <c r="E8" s="2"/>
      <c r="F8" s="2"/>
    </row>
    <row r="9" spans="2:6" x14ac:dyDescent="0.35">
      <c r="B9" s="11">
        <v>23265</v>
      </c>
      <c r="C9" s="11"/>
      <c r="D9" s="2"/>
      <c r="E9" s="2"/>
      <c r="F9" s="2"/>
    </row>
    <row r="10" spans="2:6" x14ac:dyDescent="0.35">
      <c r="B10" s="11">
        <v>23315</v>
      </c>
      <c r="C10" s="11"/>
      <c r="D10" s="2"/>
      <c r="E10" s="2"/>
      <c r="F10" s="2"/>
    </row>
    <row r="11" spans="2:6" x14ac:dyDescent="0.35">
      <c r="B11" s="2"/>
      <c r="C11" s="2"/>
      <c r="D11" s="2"/>
      <c r="E11" s="2"/>
      <c r="F11" s="2"/>
    </row>
    <row r="12" spans="2:6" x14ac:dyDescent="0.35">
      <c r="B12" s="2"/>
      <c r="C12" s="2"/>
      <c r="D12" s="2"/>
      <c r="E12" s="2"/>
      <c r="F12" s="2"/>
    </row>
    <row r="13" spans="2:6" x14ac:dyDescent="0.35">
      <c r="B13" s="2"/>
      <c r="C13" s="2"/>
      <c r="D13" s="2"/>
      <c r="E13" s="2"/>
      <c r="F13" s="2"/>
    </row>
    <row r="14" spans="2:6" ht="18.5" x14ac:dyDescent="0.45">
      <c r="B14" s="1" t="s">
        <v>222</v>
      </c>
      <c r="C14" s="2"/>
      <c r="D14" s="2"/>
      <c r="E14" s="2"/>
      <c r="F14" s="2"/>
    </row>
    <row r="15" spans="2:6" ht="18.5" x14ac:dyDescent="0.45">
      <c r="B15" s="1"/>
      <c r="C15" s="2"/>
      <c r="D15" s="2"/>
      <c r="E15" s="2"/>
      <c r="F15" s="2"/>
    </row>
    <row r="16" spans="2:6" x14ac:dyDescent="0.35">
      <c r="B16" s="5" t="s">
        <v>223</v>
      </c>
      <c r="C16" s="2"/>
      <c r="D16" s="2"/>
      <c r="E16" s="2"/>
      <c r="F16" s="2"/>
    </row>
    <row r="17" spans="2:6" ht="18.5" x14ac:dyDescent="0.45">
      <c r="B17" s="1"/>
      <c r="C17" s="2"/>
      <c r="D17" s="2"/>
      <c r="E17" s="2"/>
      <c r="F17" s="2"/>
    </row>
    <row r="18" spans="2:6" x14ac:dyDescent="0.35">
      <c r="B18" s="10" t="s">
        <v>0</v>
      </c>
      <c r="C18" s="10" t="s">
        <v>4</v>
      </c>
      <c r="D18" s="2"/>
      <c r="E18" s="2"/>
      <c r="F18" s="2"/>
    </row>
    <row r="19" spans="2:6" x14ac:dyDescent="0.35">
      <c r="B19" s="11">
        <v>23265</v>
      </c>
      <c r="C19" s="11"/>
      <c r="D19" s="2"/>
      <c r="E19" s="2"/>
      <c r="F19" s="2"/>
    </row>
    <row r="20" spans="2:6" x14ac:dyDescent="0.35">
      <c r="B20" s="11">
        <v>23378</v>
      </c>
      <c r="C20" s="11"/>
      <c r="D20" s="2"/>
      <c r="E20" s="2"/>
      <c r="F20" s="2"/>
    </row>
    <row r="21" spans="2:6" x14ac:dyDescent="0.35">
      <c r="B21" s="11">
        <v>23288</v>
      </c>
      <c r="C21" s="11"/>
      <c r="D21" s="2"/>
      <c r="E21" s="2"/>
      <c r="F21" s="2"/>
    </row>
    <row r="22" spans="2:6" x14ac:dyDescent="0.35">
      <c r="B22" s="11">
        <v>23347</v>
      </c>
      <c r="C22" s="11"/>
      <c r="D22" s="2"/>
      <c r="E22" s="2"/>
      <c r="F22" s="2"/>
    </row>
    <row r="23" spans="2:6" x14ac:dyDescent="0.35">
      <c r="B23" s="6"/>
      <c r="C23" s="6"/>
      <c r="D23" s="2"/>
      <c r="E23" s="2"/>
      <c r="F23" s="2"/>
    </row>
    <row r="24" spans="2:6" x14ac:dyDescent="0.35">
      <c r="B24" s="6"/>
      <c r="C24" s="6"/>
      <c r="D24" s="2"/>
      <c r="E24" s="2"/>
      <c r="F24" s="2"/>
    </row>
    <row r="25" spans="2:6" x14ac:dyDescent="0.35">
      <c r="B25" s="4"/>
      <c r="C25" s="4"/>
      <c r="D25" s="4"/>
      <c r="E25" s="2"/>
      <c r="F25" s="2"/>
    </row>
    <row r="26" spans="2:6" x14ac:dyDescent="0.35">
      <c r="B26" s="12" t="s">
        <v>0</v>
      </c>
      <c r="C26" s="12" t="s">
        <v>4</v>
      </c>
      <c r="D26" s="12" t="s">
        <v>7</v>
      </c>
      <c r="E26" s="12" t="s">
        <v>9</v>
      </c>
      <c r="F26" s="13"/>
    </row>
    <row r="27" spans="2:6" x14ac:dyDescent="0.35">
      <c r="B27" s="14">
        <v>23353</v>
      </c>
      <c r="C27" s="14"/>
      <c r="D27" s="14"/>
      <c r="E27" s="11"/>
      <c r="F27" s="2"/>
    </row>
    <row r="28" spans="2:6" x14ac:dyDescent="0.35">
      <c r="B28" s="14">
        <v>23353</v>
      </c>
      <c r="C28" s="14"/>
      <c r="D28" s="14"/>
      <c r="E28" s="11"/>
      <c r="F28" s="2"/>
    </row>
    <row r="29" spans="2:6" x14ac:dyDescent="0.35">
      <c r="B29" s="14">
        <v>23353</v>
      </c>
      <c r="C29" s="14"/>
      <c r="D29" s="14"/>
      <c r="E29" s="11"/>
      <c r="F29" s="2"/>
    </row>
    <row r="30" spans="2:6" x14ac:dyDescent="0.35">
      <c r="B30" s="14">
        <v>23353</v>
      </c>
      <c r="C30" s="14"/>
      <c r="D30" s="14"/>
      <c r="E30" s="11"/>
      <c r="F30" s="2"/>
    </row>
    <row r="31" spans="2:6" x14ac:dyDescent="0.35">
      <c r="B31" s="14">
        <v>23353</v>
      </c>
      <c r="C31" s="14"/>
      <c r="D31" s="14"/>
      <c r="E31" s="11"/>
      <c r="F31" s="2"/>
    </row>
    <row r="32" spans="2:6" x14ac:dyDescent="0.35">
      <c r="B32" s="14">
        <v>23353</v>
      </c>
      <c r="C32" s="14"/>
      <c r="D32" s="14"/>
      <c r="E32" s="11"/>
      <c r="F32" s="2"/>
    </row>
    <row r="33" spans="2:6" x14ac:dyDescent="0.35">
      <c r="B33" s="2"/>
      <c r="C33" s="2"/>
      <c r="D33" s="2"/>
      <c r="E33" s="2"/>
      <c r="F33" s="2"/>
    </row>
    <row r="34" spans="2:6" ht="18.5" x14ac:dyDescent="0.45">
      <c r="B34" s="1"/>
      <c r="C34" s="2"/>
      <c r="D34" s="2"/>
      <c r="E34" s="2"/>
      <c r="F34" s="2"/>
    </row>
    <row r="35" spans="2:6" ht="18.5" x14ac:dyDescent="0.45">
      <c r="B35" s="1"/>
      <c r="C35" s="2"/>
      <c r="D35" s="2"/>
      <c r="E35" s="2"/>
      <c r="F35" s="2"/>
    </row>
    <row r="36" spans="2:6" ht="18.5" x14ac:dyDescent="0.45">
      <c r="B36" s="1" t="s">
        <v>224</v>
      </c>
      <c r="C36" s="2"/>
      <c r="D36" s="2"/>
      <c r="E36" s="2"/>
      <c r="F36" s="2"/>
    </row>
    <row r="37" spans="2:6" ht="18.5" x14ac:dyDescent="0.45">
      <c r="B37" s="1"/>
      <c r="C37" s="2"/>
      <c r="D37" s="2"/>
      <c r="E37" s="2"/>
      <c r="F37" s="2"/>
    </row>
    <row r="38" spans="2:6" x14ac:dyDescent="0.35">
      <c r="B38" s="5" t="s">
        <v>231</v>
      </c>
      <c r="C38" s="2"/>
      <c r="D38" s="2"/>
      <c r="E38" s="2"/>
      <c r="F38" s="2"/>
    </row>
    <row r="39" spans="2:6" ht="18.5" x14ac:dyDescent="0.45">
      <c r="B39" s="1"/>
      <c r="C39" s="2"/>
      <c r="D39" s="2"/>
      <c r="E39" s="2"/>
      <c r="F39" s="2"/>
    </row>
    <row r="40" spans="2:6" x14ac:dyDescent="0.35">
      <c r="B40" s="5"/>
      <c r="C40" s="5"/>
      <c r="D40" s="7"/>
      <c r="E40" s="2"/>
      <c r="F40" s="2"/>
    </row>
    <row r="41" spans="2:6" x14ac:dyDescent="0.35">
      <c r="B41" s="10" t="s">
        <v>0</v>
      </c>
      <c r="C41" s="10" t="s">
        <v>2</v>
      </c>
      <c r="D41" s="10" t="s">
        <v>221</v>
      </c>
      <c r="E41" s="10" t="s">
        <v>9</v>
      </c>
      <c r="F41" s="2"/>
    </row>
    <row r="42" spans="2:6" x14ac:dyDescent="0.35">
      <c r="B42" s="11">
        <v>23265</v>
      </c>
      <c r="C42" s="11"/>
      <c r="D42" s="6"/>
      <c r="E42" s="15"/>
      <c r="F42" s="2"/>
    </row>
    <row r="43" spans="2:6" x14ac:dyDescent="0.35">
      <c r="B43" s="14">
        <v>23315</v>
      </c>
      <c r="C43" s="11"/>
      <c r="D43" s="14"/>
      <c r="E43" s="15"/>
      <c r="F43" s="2"/>
    </row>
    <row r="44" spans="2:6" x14ac:dyDescent="0.35">
      <c r="B44" s="14">
        <v>30000</v>
      </c>
      <c r="C44" s="11"/>
      <c r="D44" s="11"/>
      <c r="E44" s="20"/>
      <c r="F44" s="2"/>
    </row>
    <row r="45" spans="2:6" x14ac:dyDescent="0.35">
      <c r="B45" s="14">
        <v>40000</v>
      </c>
      <c r="C45" s="11"/>
      <c r="D45" s="11"/>
      <c r="E45" s="20"/>
      <c r="F45" s="2"/>
    </row>
    <row r="46" spans="2:6" x14ac:dyDescent="0.35">
      <c r="B46" s="14">
        <v>23367</v>
      </c>
      <c r="C46" s="11"/>
      <c r="D46" s="11"/>
      <c r="E46" s="20"/>
      <c r="F46" s="2"/>
    </row>
    <row r="47" spans="2:6" x14ac:dyDescent="0.35">
      <c r="B47" s="14">
        <v>23326</v>
      </c>
      <c r="C47" s="11"/>
      <c r="D47" s="11"/>
      <c r="E47" s="20"/>
      <c r="F47" s="2"/>
    </row>
    <row r="48" spans="2:6" x14ac:dyDescent="0.35">
      <c r="B48" s="14">
        <v>35000</v>
      </c>
      <c r="C48" s="11"/>
      <c r="D48" s="11"/>
      <c r="E48" s="20"/>
      <c r="F48" s="2"/>
    </row>
    <row r="49" spans="2:6" x14ac:dyDescent="0.35">
      <c r="B49" s="4"/>
      <c r="C49" s="4"/>
      <c r="D49" s="16" t="s">
        <v>226</v>
      </c>
      <c r="E49" s="17"/>
      <c r="F49" s="2"/>
    </row>
    <row r="50" spans="2:6" x14ac:dyDescent="0.35">
      <c r="B50" s="4"/>
      <c r="C50" s="4"/>
      <c r="D50" s="4"/>
      <c r="E50" s="2"/>
      <c r="F50" s="2"/>
    </row>
    <row r="51" spans="2:6" x14ac:dyDescent="0.35">
      <c r="B51" s="5" t="s">
        <v>219</v>
      </c>
      <c r="C51" s="6"/>
      <c r="D51" s="6"/>
      <c r="E51" s="2"/>
      <c r="F51" s="2"/>
    </row>
    <row r="52" spans="2:6" x14ac:dyDescent="0.35">
      <c r="B52" s="5" t="s">
        <v>232</v>
      </c>
      <c r="C52" s="7"/>
      <c r="D52" s="7"/>
      <c r="E52" s="2"/>
      <c r="F52" s="2"/>
    </row>
    <row r="53" spans="2:6" x14ac:dyDescent="0.35">
      <c r="B53" s="8"/>
      <c r="C53" s="9"/>
      <c r="D53" s="9"/>
      <c r="E53" s="2"/>
      <c r="F53" s="2"/>
    </row>
    <row r="54" spans="2:6" x14ac:dyDescent="0.35">
      <c r="B54" s="10" t="s">
        <v>0</v>
      </c>
      <c r="C54" s="10" t="s">
        <v>221</v>
      </c>
      <c r="D54" s="10" t="s">
        <v>9</v>
      </c>
      <c r="E54" s="2"/>
      <c r="F54" s="2"/>
    </row>
    <row r="55" spans="2:6" x14ac:dyDescent="0.35">
      <c r="B55" s="11">
        <v>23265</v>
      </c>
      <c r="C55" s="11"/>
      <c r="D55" s="11"/>
      <c r="E55" s="2"/>
      <c r="F55" s="2"/>
    </row>
    <row r="56" spans="2:6" x14ac:dyDescent="0.35">
      <c r="B56" s="11">
        <v>40000</v>
      </c>
      <c r="C56" s="11"/>
      <c r="D56" s="11"/>
      <c r="E56" s="2"/>
      <c r="F56" s="2"/>
    </row>
    <row r="57" spans="2:6" x14ac:dyDescent="0.35">
      <c r="B57" s="11">
        <v>23367</v>
      </c>
      <c r="C57" s="11"/>
      <c r="D57" s="11"/>
      <c r="E57" s="2"/>
      <c r="F57" s="2"/>
    </row>
    <row r="58" spans="2:6" x14ac:dyDescent="0.35">
      <c r="B58" s="6"/>
      <c r="C58" s="6"/>
      <c r="D58" s="6"/>
      <c r="E58" s="2"/>
      <c r="F58" s="2"/>
    </row>
    <row r="59" spans="2:6" x14ac:dyDescent="0.35">
      <c r="B59" s="6"/>
      <c r="C59" s="6"/>
      <c r="D59" s="6"/>
      <c r="E59" s="2"/>
      <c r="F59" s="2"/>
    </row>
    <row r="60" spans="2:6" x14ac:dyDescent="0.35">
      <c r="B60" s="6"/>
      <c r="C60" s="16" t="s">
        <v>226</v>
      </c>
      <c r="D60" s="18"/>
      <c r="E60" s="2"/>
      <c r="F60" s="2"/>
    </row>
    <row r="61" spans="2:6" x14ac:dyDescent="0.35">
      <c r="B61" s="6"/>
      <c r="C61" s="6"/>
      <c r="D61" s="6"/>
      <c r="E61" s="2"/>
      <c r="F61" s="2"/>
    </row>
    <row r="62" spans="2:6" x14ac:dyDescent="0.35">
      <c r="B62" s="2"/>
      <c r="C62" s="2"/>
      <c r="D62" s="2"/>
      <c r="E62" s="2"/>
      <c r="F62" s="2"/>
    </row>
    <row r="63" spans="2:6" ht="18.5" x14ac:dyDescent="0.45">
      <c r="B63" s="1" t="s">
        <v>227</v>
      </c>
      <c r="C63" s="2"/>
      <c r="D63" s="2"/>
      <c r="E63" s="2"/>
      <c r="F63" s="2"/>
    </row>
    <row r="64" spans="2:6" ht="18.5" x14ac:dyDescent="0.45">
      <c r="B64" s="1"/>
      <c r="C64" s="2"/>
      <c r="D64" s="2"/>
      <c r="E64" s="2"/>
      <c r="F64" s="2"/>
    </row>
    <row r="65" spans="2:6" x14ac:dyDescent="0.35">
      <c r="B65" s="5" t="s">
        <v>228</v>
      </c>
      <c r="C65" s="2"/>
      <c r="D65" s="2"/>
      <c r="E65" s="2"/>
      <c r="F65" s="2"/>
    </row>
    <row r="66" spans="2:6" x14ac:dyDescent="0.35">
      <c r="B66" s="2"/>
      <c r="C66" s="2"/>
      <c r="D66" s="2"/>
      <c r="E66" s="2"/>
      <c r="F66" s="2"/>
    </row>
    <row r="67" spans="2:6" x14ac:dyDescent="0.35">
      <c r="B67" s="10" t="s">
        <v>0</v>
      </c>
      <c r="C67" s="10" t="s">
        <v>8</v>
      </c>
      <c r="D67" s="2"/>
      <c r="E67" s="2"/>
      <c r="F67" s="2"/>
    </row>
    <row r="68" spans="2:6" x14ac:dyDescent="0.35">
      <c r="B68" s="11">
        <v>23265</v>
      </c>
      <c r="C68" s="19"/>
      <c r="D68" s="2"/>
      <c r="E68" s="2"/>
      <c r="F68" s="2"/>
    </row>
    <row r="69" spans="2:6" x14ac:dyDescent="0.35">
      <c r="B69" s="11">
        <v>23315</v>
      </c>
      <c r="C69" s="19"/>
      <c r="D69" s="2"/>
      <c r="E69" s="2"/>
      <c r="F69" s="2"/>
    </row>
    <row r="70" spans="2:6" x14ac:dyDescent="0.35">
      <c r="B70" s="11">
        <v>30000</v>
      </c>
      <c r="C70" s="19"/>
      <c r="D70" s="2"/>
      <c r="E70" s="2"/>
      <c r="F70" s="2"/>
    </row>
    <row r="71" spans="2:6" x14ac:dyDescent="0.35">
      <c r="B71" s="11">
        <v>23377</v>
      </c>
      <c r="C71" s="19"/>
      <c r="D71" s="2"/>
      <c r="E71" s="2"/>
      <c r="F71" s="2"/>
    </row>
    <row r="72" spans="2:6" x14ac:dyDescent="0.35">
      <c r="B72" s="11">
        <v>23311</v>
      </c>
      <c r="C72" s="19"/>
      <c r="D72" s="2"/>
      <c r="E72" s="2"/>
      <c r="F72" s="2"/>
    </row>
    <row r="73" spans="2:6" x14ac:dyDescent="0.35">
      <c r="B73" s="11">
        <v>23371.5</v>
      </c>
      <c r="C73" s="19"/>
      <c r="D73" s="2"/>
      <c r="E73" s="2"/>
      <c r="F73" s="2"/>
    </row>
    <row r="74" spans="2:6" x14ac:dyDescent="0.35">
      <c r="B74" s="2"/>
      <c r="C74" s="2"/>
      <c r="D74" s="2"/>
      <c r="E74" s="2"/>
      <c r="F74" s="2"/>
    </row>
    <row r="75" spans="2:6" x14ac:dyDescent="0.35">
      <c r="B75" s="16" t="s">
        <v>229</v>
      </c>
      <c r="C75" s="17"/>
      <c r="D75" s="2"/>
      <c r="E75" s="2"/>
      <c r="F75" s="2"/>
    </row>
    <row r="76" spans="2:6" x14ac:dyDescent="0.35">
      <c r="B76" s="2"/>
      <c r="C76" s="2"/>
      <c r="D76" s="2"/>
      <c r="E76" s="2"/>
      <c r="F76" s="2"/>
    </row>
    <row r="77" spans="2:6" x14ac:dyDescent="0.35">
      <c r="B77" s="2"/>
      <c r="C77" s="2"/>
      <c r="D77" s="2"/>
      <c r="E77" s="2"/>
      <c r="F7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D074-868C-4E5A-8843-C75BD0D91772}">
  <dimension ref="A1:H59"/>
  <sheetViews>
    <sheetView tabSelected="1" workbookViewId="0">
      <selection activeCell="J17" sqref="J17"/>
    </sheetView>
  </sheetViews>
  <sheetFormatPr defaultRowHeight="14.5" x14ac:dyDescent="0.35"/>
  <cols>
    <col min="1" max="1" width="14.453125" bestFit="1" customWidth="1"/>
    <col min="2" max="2" width="12.7265625" bestFit="1" customWidth="1"/>
    <col min="3" max="3" width="8.81640625" bestFit="1" customWidth="1"/>
    <col min="4" max="4" width="9.36328125" bestFit="1" customWidth="1"/>
    <col min="5" max="5" width="8.26953125" bestFit="1" customWidth="1"/>
    <col min="6" max="6" width="23.90625" bestFit="1" customWidth="1"/>
    <col min="7" max="7" width="12.08984375" bestFit="1" customWidth="1"/>
    <col min="8" max="8" width="12.7265625" bestFit="1" customWidth="1"/>
    <col min="9" max="9" width="10.7265625" bestFit="1" customWidth="1"/>
  </cols>
  <sheetData>
    <row r="1" spans="1:8" x14ac:dyDescent="0.35">
      <c r="A1" s="64" t="s">
        <v>4</v>
      </c>
      <c r="B1" t="s">
        <v>226</v>
      </c>
      <c r="F1" s="64" t="s">
        <v>245</v>
      </c>
      <c r="G1" t="s">
        <v>244</v>
      </c>
      <c r="H1" t="s">
        <v>226</v>
      </c>
    </row>
    <row r="2" spans="1:8" x14ac:dyDescent="0.35">
      <c r="A2" s="65" t="s">
        <v>13</v>
      </c>
      <c r="B2" s="66">
        <v>37197.019999999997</v>
      </c>
      <c r="F2" s="65" t="s">
        <v>236</v>
      </c>
      <c r="G2" s="66">
        <v>231</v>
      </c>
      <c r="H2" s="66">
        <v>871.65</v>
      </c>
    </row>
    <row r="3" spans="1:8" x14ac:dyDescent="0.35">
      <c r="A3" s="65" t="s">
        <v>19</v>
      </c>
      <c r="B3" s="66">
        <v>34385.35</v>
      </c>
      <c r="F3" s="65" t="s">
        <v>237</v>
      </c>
      <c r="G3" s="66">
        <v>3988</v>
      </c>
      <c r="H3" s="66">
        <v>33326.980000000003</v>
      </c>
    </row>
    <row r="4" spans="1:8" x14ac:dyDescent="0.35">
      <c r="A4" s="65" t="s">
        <v>16</v>
      </c>
      <c r="B4" s="66">
        <v>10356.24</v>
      </c>
      <c r="F4" s="65" t="s">
        <v>238</v>
      </c>
      <c r="G4" s="66">
        <v>393</v>
      </c>
      <c r="H4" s="66">
        <v>1852.42</v>
      </c>
    </row>
    <row r="5" spans="1:8" x14ac:dyDescent="0.35">
      <c r="A5" s="65" t="s">
        <v>235</v>
      </c>
      <c r="B5" s="66">
        <v>81938.61</v>
      </c>
      <c r="F5" s="65" t="s">
        <v>239</v>
      </c>
      <c r="G5" s="66">
        <v>524</v>
      </c>
      <c r="H5" s="66">
        <v>2669.25</v>
      </c>
    </row>
    <row r="6" spans="1:8" x14ac:dyDescent="0.35">
      <c r="F6" s="65" t="s">
        <v>240</v>
      </c>
      <c r="G6" s="66">
        <v>1046</v>
      </c>
      <c r="H6" s="66">
        <v>8818.49</v>
      </c>
    </row>
    <row r="7" spans="1:8" x14ac:dyDescent="0.35">
      <c r="F7" s="65" t="s">
        <v>241</v>
      </c>
      <c r="G7" s="66">
        <v>2190</v>
      </c>
      <c r="H7" s="66">
        <v>12389.34</v>
      </c>
    </row>
    <row r="8" spans="1:8" x14ac:dyDescent="0.35">
      <c r="F8" s="65" t="s">
        <v>242</v>
      </c>
      <c r="G8" s="66">
        <v>2911</v>
      </c>
      <c r="H8" s="66">
        <v>22010.48</v>
      </c>
    </row>
    <row r="9" spans="1:8" x14ac:dyDescent="0.35">
      <c r="F9" s="65" t="s">
        <v>235</v>
      </c>
      <c r="G9" s="66">
        <v>11283</v>
      </c>
      <c r="H9" s="66">
        <v>81938.61</v>
      </c>
    </row>
    <row r="10" spans="1:8" x14ac:dyDescent="0.35">
      <c r="A10" s="64" t="s">
        <v>243</v>
      </c>
      <c r="B10" t="s">
        <v>226</v>
      </c>
    </row>
    <row r="11" spans="1:8" x14ac:dyDescent="0.35">
      <c r="A11" s="65" t="s">
        <v>237</v>
      </c>
      <c r="B11" s="66">
        <v>33326.980000000003</v>
      </c>
      <c r="F11" s="64" t="s">
        <v>243</v>
      </c>
      <c r="G11" t="s">
        <v>246</v>
      </c>
    </row>
    <row r="12" spans="1:8" x14ac:dyDescent="0.35">
      <c r="A12" s="65" t="s">
        <v>242</v>
      </c>
      <c r="B12" s="66">
        <v>22010.48</v>
      </c>
      <c r="F12" s="65" t="s">
        <v>236</v>
      </c>
      <c r="G12" s="66">
        <v>4.3724999999999996</v>
      </c>
    </row>
    <row r="13" spans="1:8" x14ac:dyDescent="0.35">
      <c r="A13" s="65" t="s">
        <v>241</v>
      </c>
      <c r="B13" s="66">
        <v>12389.34</v>
      </c>
      <c r="F13" s="65" t="s">
        <v>237</v>
      </c>
      <c r="G13" s="66">
        <v>8.1266666666666669</v>
      </c>
    </row>
    <row r="14" spans="1:8" x14ac:dyDescent="0.35">
      <c r="A14" s="65" t="s">
        <v>240</v>
      </c>
      <c r="B14" s="66">
        <v>8818.49</v>
      </c>
      <c r="F14" s="65" t="s">
        <v>238</v>
      </c>
      <c r="G14" s="66">
        <v>5.87</v>
      </c>
    </row>
    <row r="15" spans="1:8" x14ac:dyDescent="0.35">
      <c r="A15" s="65" t="s">
        <v>239</v>
      </c>
      <c r="B15" s="66">
        <v>2669.25</v>
      </c>
      <c r="F15" s="65" t="s">
        <v>239</v>
      </c>
      <c r="G15" s="66">
        <v>5.33</v>
      </c>
    </row>
    <row r="16" spans="1:8" x14ac:dyDescent="0.35">
      <c r="A16" s="65" t="s">
        <v>238</v>
      </c>
      <c r="B16" s="66">
        <v>1852.42</v>
      </c>
      <c r="F16" s="65" t="s">
        <v>240</v>
      </c>
      <c r="G16" s="66">
        <v>9.425714285714287</v>
      </c>
    </row>
    <row r="17" spans="1:7" x14ac:dyDescent="0.35">
      <c r="A17" s="65" t="s">
        <v>236</v>
      </c>
      <c r="B17" s="66">
        <v>871.65</v>
      </c>
      <c r="F17" s="65" t="s">
        <v>241</v>
      </c>
      <c r="G17" s="66">
        <v>5.8374999999999995</v>
      </c>
    </row>
    <row r="18" spans="1:7" x14ac:dyDescent="0.35">
      <c r="A18" s="65" t="s">
        <v>235</v>
      </c>
      <c r="B18" s="66">
        <v>81938.61</v>
      </c>
      <c r="F18" s="65" t="s">
        <v>242</v>
      </c>
      <c r="G18" s="66">
        <v>7.9155999999999995</v>
      </c>
    </row>
    <row r="19" spans="1:7" x14ac:dyDescent="0.35">
      <c r="F19" s="65" t="s">
        <v>235</v>
      </c>
      <c r="G19" s="66">
        <v>7.0251886792452822</v>
      </c>
    </row>
    <row r="23" spans="1:7" x14ac:dyDescent="0.35">
      <c r="A23" s="64" t="s">
        <v>1</v>
      </c>
      <c r="B23" t="s">
        <v>226</v>
      </c>
      <c r="F23" s="64" t="s">
        <v>2</v>
      </c>
      <c r="G23" t="s">
        <v>226</v>
      </c>
    </row>
    <row r="24" spans="1:7" x14ac:dyDescent="0.35">
      <c r="A24" s="65" t="s">
        <v>10</v>
      </c>
      <c r="B24" s="66">
        <v>3016</v>
      </c>
      <c r="F24" s="65" t="s">
        <v>11</v>
      </c>
      <c r="G24" s="66">
        <v>3016</v>
      </c>
    </row>
    <row r="25" spans="1:7" x14ac:dyDescent="0.35">
      <c r="A25" s="65" t="s">
        <v>14</v>
      </c>
      <c r="B25" s="66">
        <v>2856.5</v>
      </c>
      <c r="F25" s="65" t="s">
        <v>15</v>
      </c>
      <c r="G25" s="66">
        <v>2856.5</v>
      </c>
    </row>
    <row r="26" spans="1:7" x14ac:dyDescent="0.35">
      <c r="A26" s="65" t="s">
        <v>17</v>
      </c>
      <c r="B26" s="66">
        <v>2552</v>
      </c>
      <c r="F26" s="65" t="s">
        <v>21</v>
      </c>
      <c r="G26" s="66">
        <v>2845.59</v>
      </c>
    </row>
    <row r="27" spans="1:7" x14ac:dyDescent="0.35">
      <c r="A27" s="65" t="s">
        <v>20</v>
      </c>
      <c r="B27" s="66">
        <v>2436</v>
      </c>
      <c r="F27" s="65" t="s">
        <v>29</v>
      </c>
      <c r="G27" s="66">
        <v>2628.27</v>
      </c>
    </row>
    <row r="28" spans="1:7" x14ac:dyDescent="0.35">
      <c r="A28" s="65" t="s">
        <v>22</v>
      </c>
      <c r="B28" s="66">
        <v>2407</v>
      </c>
      <c r="F28" s="65" t="s">
        <v>18</v>
      </c>
      <c r="G28" s="66">
        <v>2552</v>
      </c>
    </row>
    <row r="29" spans="1:7" x14ac:dyDescent="0.35">
      <c r="A29" s="65" t="s">
        <v>24</v>
      </c>
      <c r="B29" s="66">
        <v>2276.5</v>
      </c>
      <c r="F29" s="65" t="s">
        <v>23</v>
      </c>
      <c r="G29" s="66">
        <v>2407</v>
      </c>
    </row>
    <row r="30" spans="1:7" x14ac:dyDescent="0.35">
      <c r="A30" s="65" t="s">
        <v>26</v>
      </c>
      <c r="B30" s="66">
        <v>2059</v>
      </c>
      <c r="F30" s="65" t="s">
        <v>25</v>
      </c>
      <c r="G30" s="66">
        <v>2276.5</v>
      </c>
    </row>
    <row r="31" spans="1:7" x14ac:dyDescent="0.35">
      <c r="A31" s="65" t="s">
        <v>28</v>
      </c>
      <c r="B31" s="66">
        <v>1928.07</v>
      </c>
      <c r="F31" s="65" t="s">
        <v>74</v>
      </c>
      <c r="G31" s="66">
        <v>2106.0500000000002</v>
      </c>
    </row>
    <row r="32" spans="1:7" x14ac:dyDescent="0.35">
      <c r="A32" s="65" t="s">
        <v>31</v>
      </c>
      <c r="B32" s="66">
        <v>1845</v>
      </c>
      <c r="F32" s="65" t="s">
        <v>27</v>
      </c>
      <c r="G32" s="66">
        <v>2059</v>
      </c>
    </row>
    <row r="33" spans="1:7" x14ac:dyDescent="0.35">
      <c r="A33" s="65" t="s">
        <v>34</v>
      </c>
      <c r="B33" s="66">
        <v>1791</v>
      </c>
      <c r="F33" s="65" t="s">
        <v>234</v>
      </c>
      <c r="G33" s="66">
        <v>1845</v>
      </c>
    </row>
    <row r="34" spans="1:7" x14ac:dyDescent="0.35">
      <c r="A34" s="65" t="s">
        <v>38</v>
      </c>
      <c r="B34" s="66">
        <v>1692</v>
      </c>
      <c r="F34" s="65" t="s">
        <v>35</v>
      </c>
      <c r="G34" s="66">
        <v>1791</v>
      </c>
    </row>
    <row r="35" spans="1:7" x14ac:dyDescent="0.35">
      <c r="A35" s="65" t="s">
        <v>36</v>
      </c>
      <c r="B35" s="66">
        <v>1692</v>
      </c>
      <c r="F35" s="65" t="s">
        <v>39</v>
      </c>
      <c r="G35" s="66">
        <v>1692</v>
      </c>
    </row>
    <row r="36" spans="1:7" x14ac:dyDescent="0.35">
      <c r="A36" s="65" t="s">
        <v>40</v>
      </c>
      <c r="B36" s="66">
        <v>1668.33</v>
      </c>
      <c r="F36" s="65" t="s">
        <v>37</v>
      </c>
      <c r="G36" s="66">
        <v>1692</v>
      </c>
    </row>
    <row r="37" spans="1:7" x14ac:dyDescent="0.35">
      <c r="A37" s="65" t="s">
        <v>42</v>
      </c>
      <c r="B37" s="66">
        <v>1628.37</v>
      </c>
      <c r="F37" s="65" t="s">
        <v>41</v>
      </c>
      <c r="G37" s="66">
        <v>1668.33</v>
      </c>
    </row>
    <row r="38" spans="1:7" x14ac:dyDescent="0.35">
      <c r="A38" s="65" t="s">
        <v>44</v>
      </c>
      <c r="B38" s="66">
        <v>1530</v>
      </c>
      <c r="F38" s="65" t="s">
        <v>43</v>
      </c>
      <c r="G38" s="66">
        <v>1628.37</v>
      </c>
    </row>
    <row r="39" spans="1:7" x14ac:dyDescent="0.35">
      <c r="A39" s="65" t="s">
        <v>46</v>
      </c>
      <c r="B39" s="66">
        <v>1479</v>
      </c>
      <c r="F39" s="65" t="s">
        <v>45</v>
      </c>
      <c r="G39" s="66">
        <v>1530</v>
      </c>
    </row>
    <row r="40" spans="1:7" x14ac:dyDescent="0.35">
      <c r="A40" s="65" t="s">
        <v>48</v>
      </c>
      <c r="B40" s="66">
        <v>1440</v>
      </c>
      <c r="F40" s="65" t="s">
        <v>47</v>
      </c>
      <c r="G40" s="66">
        <v>1479</v>
      </c>
    </row>
    <row r="41" spans="1:7" x14ac:dyDescent="0.35">
      <c r="A41" s="65" t="s">
        <v>50</v>
      </c>
      <c r="B41" s="66">
        <v>1425.96</v>
      </c>
      <c r="F41" s="65" t="s">
        <v>49</v>
      </c>
      <c r="G41" s="66">
        <v>1440</v>
      </c>
    </row>
    <row r="42" spans="1:7" x14ac:dyDescent="0.35">
      <c r="A42" s="65" t="s">
        <v>53</v>
      </c>
      <c r="B42" s="66">
        <v>1408.59</v>
      </c>
      <c r="F42" s="65" t="s">
        <v>51</v>
      </c>
      <c r="G42" s="66">
        <v>1425.96</v>
      </c>
    </row>
    <row r="43" spans="1:7" x14ac:dyDescent="0.35">
      <c r="A43" s="65" t="s">
        <v>55</v>
      </c>
      <c r="B43" s="66">
        <v>1323</v>
      </c>
      <c r="F43" s="65" t="s">
        <v>54</v>
      </c>
      <c r="G43" s="66">
        <v>1408.59</v>
      </c>
    </row>
    <row r="44" spans="1:7" x14ac:dyDescent="0.35">
      <c r="A44" s="65" t="s">
        <v>235</v>
      </c>
      <c r="B44" s="66">
        <v>38454.32</v>
      </c>
      <c r="F44" s="65" t="s">
        <v>235</v>
      </c>
      <c r="G44" s="66">
        <v>40347.160000000003</v>
      </c>
    </row>
    <row r="47" spans="1:7" x14ac:dyDescent="0.35">
      <c r="A47" s="64" t="s">
        <v>3</v>
      </c>
      <c r="B47" t="s">
        <v>226</v>
      </c>
    </row>
    <row r="48" spans="1:7" x14ac:dyDescent="0.35">
      <c r="A48" s="65" t="s">
        <v>12</v>
      </c>
      <c r="B48" s="66">
        <v>20938</v>
      </c>
    </row>
    <row r="49" spans="1:2" x14ac:dyDescent="0.35">
      <c r="A49" s="65" t="s">
        <v>33</v>
      </c>
      <c r="B49" s="66">
        <v>15885</v>
      </c>
    </row>
    <row r="50" spans="1:2" x14ac:dyDescent="0.35">
      <c r="A50" s="65" t="s">
        <v>30</v>
      </c>
      <c r="B50" s="66">
        <v>9310.68</v>
      </c>
    </row>
    <row r="51" spans="1:2" x14ac:dyDescent="0.35">
      <c r="A51" s="65" t="s">
        <v>52</v>
      </c>
      <c r="B51" s="66">
        <v>7066.89</v>
      </c>
    </row>
    <row r="52" spans="1:2" x14ac:dyDescent="0.35">
      <c r="A52" s="65" t="s">
        <v>77</v>
      </c>
      <c r="B52" s="66">
        <v>6106.5</v>
      </c>
    </row>
    <row r="53" spans="1:2" x14ac:dyDescent="0.35">
      <c r="A53" s="65" t="s">
        <v>90</v>
      </c>
      <c r="B53" s="66">
        <v>4971.54</v>
      </c>
    </row>
    <row r="54" spans="1:2" x14ac:dyDescent="0.35">
      <c r="A54" s="65" t="s">
        <v>68</v>
      </c>
      <c r="B54" s="66">
        <v>4704</v>
      </c>
    </row>
    <row r="55" spans="1:2" x14ac:dyDescent="0.35">
      <c r="A55" s="65" t="s">
        <v>65</v>
      </c>
      <c r="B55" s="66">
        <v>4244.5</v>
      </c>
    </row>
    <row r="56" spans="1:2" x14ac:dyDescent="0.35">
      <c r="A56" s="65" t="s">
        <v>99</v>
      </c>
      <c r="B56" s="66">
        <v>3042</v>
      </c>
    </row>
    <row r="57" spans="1:2" x14ac:dyDescent="0.35">
      <c r="A57" s="65" t="s">
        <v>136</v>
      </c>
      <c r="B57" s="66">
        <v>3024</v>
      </c>
    </row>
    <row r="58" spans="1:2" x14ac:dyDescent="0.35">
      <c r="A58" s="65" t="s">
        <v>101</v>
      </c>
      <c r="B58" s="66">
        <v>2645.5</v>
      </c>
    </row>
    <row r="59" spans="1:2" x14ac:dyDescent="0.35">
      <c r="A59" s="65" t="s">
        <v>235</v>
      </c>
      <c r="B59" s="66">
        <v>81938.61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7137-B165-4295-801E-504814D95FB5}">
  <sheetPr>
    <tabColor rgb="FF0070C0"/>
  </sheetPr>
  <dimension ref="A1:J108"/>
  <sheetViews>
    <sheetView workbookViewId="0">
      <selection activeCell="C18" sqref="C18"/>
    </sheetView>
  </sheetViews>
  <sheetFormatPr defaultRowHeight="14.5" x14ac:dyDescent="0.35"/>
  <cols>
    <col min="1" max="1" width="15" bestFit="1" customWidth="1"/>
    <col min="2" max="2" width="19" bestFit="1" customWidth="1"/>
    <col min="3" max="3" width="32" bestFit="1" customWidth="1"/>
    <col min="4" max="4" width="19" customWidth="1"/>
    <col min="5" max="5" width="18.7265625" customWidth="1"/>
    <col min="6" max="6" width="12.1796875" bestFit="1" customWidth="1"/>
    <col min="7" max="7" width="13.54296875" bestFit="1" customWidth="1"/>
    <col min="8" max="8" width="10.54296875" customWidth="1"/>
    <col min="9" max="9" width="14.26953125" customWidth="1"/>
    <col min="10" max="10" width="15.7265625" customWidth="1"/>
  </cols>
  <sheetData>
    <row r="1" spans="1:10" x14ac:dyDescent="0.3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3" t="s">
        <v>6</v>
      </c>
      <c r="H1" s="54" t="s">
        <v>7</v>
      </c>
      <c r="I1" s="55" t="s">
        <v>8</v>
      </c>
      <c r="J1" s="56" t="s">
        <v>9</v>
      </c>
    </row>
    <row r="2" spans="1:10" x14ac:dyDescent="0.35">
      <c r="A2" s="46">
        <v>23345</v>
      </c>
      <c r="B2" s="25" t="s">
        <v>10</v>
      </c>
      <c r="C2" s="25" t="s">
        <v>11</v>
      </c>
      <c r="D2" s="25" t="s">
        <v>12</v>
      </c>
      <c r="E2" s="25" t="s">
        <v>13</v>
      </c>
      <c r="F2" s="26">
        <v>41150</v>
      </c>
      <c r="G2" s="27">
        <f>VALUE(MONTH(F2))</f>
        <v>8</v>
      </c>
      <c r="H2" s="28">
        <v>208</v>
      </c>
      <c r="I2" s="29">
        <v>14.5</v>
      </c>
      <c r="J2" s="49">
        <f>I2*H2</f>
        <v>3016</v>
      </c>
    </row>
    <row r="3" spans="1:10" x14ac:dyDescent="0.35">
      <c r="A3" s="47">
        <v>23278</v>
      </c>
      <c r="B3" s="31" t="s">
        <v>14</v>
      </c>
      <c r="C3" s="31" t="s">
        <v>15</v>
      </c>
      <c r="D3" s="31" t="s">
        <v>12</v>
      </c>
      <c r="E3" s="31" t="s">
        <v>16</v>
      </c>
      <c r="F3" s="32">
        <v>41145</v>
      </c>
      <c r="G3" s="33">
        <f>VALUE(MONTH(F3))</f>
        <v>8</v>
      </c>
      <c r="H3" s="34">
        <v>197</v>
      </c>
      <c r="I3" s="35">
        <v>14.5</v>
      </c>
      <c r="J3" s="50">
        <f>I3*H3</f>
        <v>2856.5</v>
      </c>
    </row>
    <row r="4" spans="1:10" x14ac:dyDescent="0.35">
      <c r="A4" s="46">
        <v>23303</v>
      </c>
      <c r="B4" s="25" t="s">
        <v>17</v>
      </c>
      <c r="C4" s="25" t="s">
        <v>18</v>
      </c>
      <c r="D4" s="25" t="s">
        <v>12</v>
      </c>
      <c r="E4" s="25" t="s">
        <v>19</v>
      </c>
      <c r="F4" s="26">
        <v>41138</v>
      </c>
      <c r="G4" s="27">
        <f>VALUE(MONTH(F4))</f>
        <v>8</v>
      </c>
      <c r="H4" s="28">
        <v>176</v>
      </c>
      <c r="I4" s="29">
        <v>14.5</v>
      </c>
      <c r="J4" s="49">
        <f>I4*H4</f>
        <v>2552</v>
      </c>
    </row>
    <row r="5" spans="1:10" x14ac:dyDescent="0.35">
      <c r="A5" s="47">
        <v>23353</v>
      </c>
      <c r="B5" s="31" t="s">
        <v>20</v>
      </c>
      <c r="C5" s="31" t="s">
        <v>21</v>
      </c>
      <c r="D5" s="31" t="s">
        <v>12</v>
      </c>
      <c r="E5" s="31" t="s">
        <v>16</v>
      </c>
      <c r="F5" s="32">
        <v>41070</v>
      </c>
      <c r="G5" s="33">
        <f>VALUE(MONTH(F5))</f>
        <v>6</v>
      </c>
      <c r="H5" s="34">
        <v>168</v>
      </c>
      <c r="I5" s="35">
        <v>14.5</v>
      </c>
      <c r="J5" s="50">
        <f>I5*H5</f>
        <v>2436</v>
      </c>
    </row>
    <row r="6" spans="1:10" x14ac:dyDescent="0.35">
      <c r="A6" s="46">
        <v>23289</v>
      </c>
      <c r="B6" s="25" t="s">
        <v>22</v>
      </c>
      <c r="C6" s="25" t="s">
        <v>23</v>
      </c>
      <c r="D6" s="25" t="s">
        <v>12</v>
      </c>
      <c r="E6" s="25" t="s">
        <v>19</v>
      </c>
      <c r="F6" s="26">
        <v>41123</v>
      </c>
      <c r="G6" s="27">
        <f>VALUE(MONTH(F6))</f>
        <v>8</v>
      </c>
      <c r="H6" s="28">
        <v>166</v>
      </c>
      <c r="I6" s="29">
        <v>14.5</v>
      </c>
      <c r="J6" s="49">
        <f>I6*H6</f>
        <v>2407</v>
      </c>
    </row>
    <row r="7" spans="1:10" x14ac:dyDescent="0.35">
      <c r="A7" s="47">
        <v>23378</v>
      </c>
      <c r="B7" s="31" t="s">
        <v>24</v>
      </c>
      <c r="C7" s="31" t="s">
        <v>25</v>
      </c>
      <c r="D7" s="31" t="s">
        <v>12</v>
      </c>
      <c r="E7" s="31" t="s">
        <v>13</v>
      </c>
      <c r="F7" s="32">
        <v>41078</v>
      </c>
      <c r="G7" s="33">
        <f>VALUE(MONTH(F7))</f>
        <v>6</v>
      </c>
      <c r="H7" s="34">
        <v>157</v>
      </c>
      <c r="I7" s="35">
        <v>14.5</v>
      </c>
      <c r="J7" s="50">
        <f>I7*H7</f>
        <v>2276.5</v>
      </c>
    </row>
    <row r="8" spans="1:10" x14ac:dyDescent="0.35">
      <c r="A8" s="46">
        <v>23283</v>
      </c>
      <c r="B8" s="25" t="s">
        <v>26</v>
      </c>
      <c r="C8" s="25" t="s">
        <v>27</v>
      </c>
      <c r="D8" s="25" t="s">
        <v>12</v>
      </c>
      <c r="E8" s="25" t="s">
        <v>13</v>
      </c>
      <c r="F8" s="26">
        <v>41084</v>
      </c>
      <c r="G8" s="27">
        <f>VALUE(MONTH(F8))</f>
        <v>6</v>
      </c>
      <c r="H8" s="28">
        <v>142</v>
      </c>
      <c r="I8" s="29">
        <v>14.5</v>
      </c>
      <c r="J8" s="49">
        <f>I8*H8</f>
        <v>2059</v>
      </c>
    </row>
    <row r="9" spans="1:10" x14ac:dyDescent="0.35">
      <c r="A9" s="48">
        <v>23324</v>
      </c>
      <c r="B9" s="37" t="s">
        <v>28</v>
      </c>
      <c r="C9" s="37" t="s">
        <v>29</v>
      </c>
      <c r="D9" s="37" t="s">
        <v>30</v>
      </c>
      <c r="E9" s="31" t="s">
        <v>19</v>
      </c>
      <c r="F9" s="32">
        <v>41134</v>
      </c>
      <c r="G9" s="33">
        <f>VALUE(MONTH(F9))</f>
        <v>8</v>
      </c>
      <c r="H9" s="34">
        <v>193</v>
      </c>
      <c r="I9" s="35">
        <v>9.99</v>
      </c>
      <c r="J9" s="50">
        <f>I9*H9</f>
        <v>1928.07</v>
      </c>
    </row>
    <row r="10" spans="1:10" x14ac:dyDescent="0.35">
      <c r="A10" s="46">
        <v>23264</v>
      </c>
      <c r="B10" s="25" t="s">
        <v>31</v>
      </c>
      <c r="C10" s="25" t="s">
        <v>234</v>
      </c>
      <c r="D10" s="25" t="s">
        <v>33</v>
      </c>
      <c r="E10" s="25" t="s">
        <v>13</v>
      </c>
      <c r="F10" s="26">
        <v>41139</v>
      </c>
      <c r="G10" s="27">
        <f>VALUE(MONTH(F10))</f>
        <v>8</v>
      </c>
      <c r="H10" s="28">
        <v>205</v>
      </c>
      <c r="I10" s="29">
        <v>9</v>
      </c>
      <c r="J10" s="49">
        <f>I10*H10</f>
        <v>1845</v>
      </c>
    </row>
    <row r="11" spans="1:10" x14ac:dyDescent="0.35">
      <c r="A11" s="47">
        <v>23291</v>
      </c>
      <c r="B11" s="31" t="s">
        <v>34</v>
      </c>
      <c r="C11" s="31" t="s">
        <v>35</v>
      </c>
      <c r="D11" s="31" t="s">
        <v>33</v>
      </c>
      <c r="E11" s="31" t="s">
        <v>19</v>
      </c>
      <c r="F11" s="32">
        <v>41139</v>
      </c>
      <c r="G11" s="33">
        <f>VALUE(MONTH(F11))</f>
        <v>8</v>
      </c>
      <c r="H11" s="34">
        <v>199</v>
      </c>
      <c r="I11" s="35">
        <v>9</v>
      </c>
      <c r="J11" s="50">
        <f>I11*H11</f>
        <v>1791</v>
      </c>
    </row>
    <row r="12" spans="1:10" x14ac:dyDescent="0.35">
      <c r="A12" s="46">
        <v>23305</v>
      </c>
      <c r="B12" s="25" t="s">
        <v>36</v>
      </c>
      <c r="C12" s="25" t="s">
        <v>37</v>
      </c>
      <c r="D12" s="25" t="s">
        <v>33</v>
      </c>
      <c r="E12" s="25" t="s">
        <v>13</v>
      </c>
      <c r="F12" s="26">
        <v>41147</v>
      </c>
      <c r="G12" s="27">
        <f>VALUE(MONTH(F12))</f>
        <v>8</v>
      </c>
      <c r="H12" s="28">
        <v>188</v>
      </c>
      <c r="I12" s="29">
        <v>9</v>
      </c>
      <c r="J12" s="49">
        <f>I12*H12</f>
        <v>1692</v>
      </c>
    </row>
    <row r="13" spans="1:10" x14ac:dyDescent="0.35">
      <c r="A13" s="47">
        <v>23350</v>
      </c>
      <c r="B13" s="31" t="s">
        <v>38</v>
      </c>
      <c r="C13" s="31" t="s">
        <v>39</v>
      </c>
      <c r="D13" s="31" t="s">
        <v>33</v>
      </c>
      <c r="E13" s="31" t="s">
        <v>13</v>
      </c>
      <c r="F13" s="32">
        <v>41085</v>
      </c>
      <c r="G13" s="33">
        <f>VALUE(MONTH(F13))</f>
        <v>6</v>
      </c>
      <c r="H13" s="34">
        <v>188</v>
      </c>
      <c r="I13" s="35">
        <v>9</v>
      </c>
      <c r="J13" s="50">
        <f>I13*H13</f>
        <v>1692</v>
      </c>
    </row>
    <row r="14" spans="1:10" x14ac:dyDescent="0.35">
      <c r="A14" s="46">
        <v>23300</v>
      </c>
      <c r="B14" s="25" t="s">
        <v>40</v>
      </c>
      <c r="C14" s="25" t="s">
        <v>41</v>
      </c>
      <c r="D14" s="25" t="s">
        <v>30</v>
      </c>
      <c r="E14" s="25" t="s">
        <v>13</v>
      </c>
      <c r="F14" s="26">
        <v>40915</v>
      </c>
      <c r="G14" s="27">
        <f>VALUE(MONTH(F14))</f>
        <v>1</v>
      </c>
      <c r="H14" s="28">
        <v>167</v>
      </c>
      <c r="I14" s="29">
        <v>9.99</v>
      </c>
      <c r="J14" s="49">
        <f>I14*H14</f>
        <v>1668.33</v>
      </c>
    </row>
    <row r="15" spans="1:10" x14ac:dyDescent="0.35">
      <c r="A15" s="47">
        <v>23348</v>
      </c>
      <c r="B15" s="31" t="s">
        <v>42</v>
      </c>
      <c r="C15" s="31" t="s">
        <v>43</v>
      </c>
      <c r="D15" s="31" t="s">
        <v>30</v>
      </c>
      <c r="E15" s="31" t="s">
        <v>19</v>
      </c>
      <c r="F15" s="32">
        <v>41146</v>
      </c>
      <c r="G15" s="33">
        <f>VALUE(MONTH(F15))</f>
        <v>8</v>
      </c>
      <c r="H15" s="34">
        <v>163</v>
      </c>
      <c r="I15" s="35">
        <v>9.99</v>
      </c>
      <c r="J15" s="50">
        <f>I15*H15</f>
        <v>1628.3700000000001</v>
      </c>
    </row>
    <row r="16" spans="1:10" x14ac:dyDescent="0.35">
      <c r="A16" s="46">
        <v>23290</v>
      </c>
      <c r="B16" s="25" t="s">
        <v>44</v>
      </c>
      <c r="C16" s="25" t="s">
        <v>45</v>
      </c>
      <c r="D16" s="25" t="s">
        <v>33</v>
      </c>
      <c r="E16" s="25" t="s">
        <v>13</v>
      </c>
      <c r="F16" s="26">
        <v>41132</v>
      </c>
      <c r="G16" s="27">
        <f>VALUE(MONTH(F16))</f>
        <v>8</v>
      </c>
      <c r="H16" s="28">
        <v>170</v>
      </c>
      <c r="I16" s="29">
        <v>9</v>
      </c>
      <c r="J16" s="49">
        <f>I16*H16</f>
        <v>1530</v>
      </c>
    </row>
    <row r="17" spans="1:10" x14ac:dyDescent="0.35">
      <c r="A17" s="47">
        <v>23328</v>
      </c>
      <c r="B17" s="31" t="s">
        <v>46</v>
      </c>
      <c r="C17" s="31" t="s">
        <v>47</v>
      </c>
      <c r="D17" s="31" t="s">
        <v>12</v>
      </c>
      <c r="E17" s="31" t="s">
        <v>19</v>
      </c>
      <c r="F17" s="32">
        <v>40923</v>
      </c>
      <c r="G17" s="33">
        <f>VALUE(MONTH(F17))</f>
        <v>1</v>
      </c>
      <c r="H17" s="34">
        <v>102</v>
      </c>
      <c r="I17" s="35">
        <v>14.5</v>
      </c>
      <c r="J17" s="50">
        <f>I17*H17</f>
        <v>1479</v>
      </c>
    </row>
    <row r="18" spans="1:10" x14ac:dyDescent="0.35">
      <c r="A18" s="46">
        <v>23294</v>
      </c>
      <c r="B18" s="25" t="s">
        <v>48</v>
      </c>
      <c r="C18" s="25" t="s">
        <v>49</v>
      </c>
      <c r="D18" s="25" t="s">
        <v>33</v>
      </c>
      <c r="E18" s="25" t="s">
        <v>19</v>
      </c>
      <c r="F18" s="26">
        <v>41082</v>
      </c>
      <c r="G18" s="27">
        <f>VALUE(MONTH(F18))</f>
        <v>6</v>
      </c>
      <c r="H18" s="28">
        <v>160</v>
      </c>
      <c r="I18" s="29">
        <v>9</v>
      </c>
      <c r="J18" s="49">
        <f>I18*H18</f>
        <v>1440</v>
      </c>
    </row>
    <row r="19" spans="1:10" x14ac:dyDescent="0.35">
      <c r="A19" s="47">
        <v>23371</v>
      </c>
      <c r="B19" s="31" t="s">
        <v>50</v>
      </c>
      <c r="C19" s="31" t="s">
        <v>51</v>
      </c>
      <c r="D19" s="31" t="s">
        <v>52</v>
      </c>
      <c r="E19" s="31" t="s">
        <v>13</v>
      </c>
      <c r="F19" s="32">
        <v>41136</v>
      </c>
      <c r="G19" s="33">
        <f>VALUE(MONTH(F19))</f>
        <v>8</v>
      </c>
      <c r="H19" s="34">
        <v>204</v>
      </c>
      <c r="I19" s="35">
        <v>6.99</v>
      </c>
      <c r="J19" s="50">
        <f>I19*H19</f>
        <v>1425.96</v>
      </c>
    </row>
    <row r="20" spans="1:10" x14ac:dyDescent="0.35">
      <c r="A20" s="46">
        <v>23288</v>
      </c>
      <c r="B20" s="25" t="s">
        <v>53</v>
      </c>
      <c r="C20" s="25" t="s">
        <v>54</v>
      </c>
      <c r="D20" s="25" t="s">
        <v>30</v>
      </c>
      <c r="E20" s="25" t="s">
        <v>16</v>
      </c>
      <c r="F20" s="26">
        <v>41074</v>
      </c>
      <c r="G20" s="27">
        <f>VALUE(MONTH(F20))</f>
        <v>6</v>
      </c>
      <c r="H20" s="28">
        <v>141</v>
      </c>
      <c r="I20" s="29">
        <v>9.99</v>
      </c>
      <c r="J20" s="49">
        <f>I20*H20</f>
        <v>1408.59</v>
      </c>
    </row>
    <row r="21" spans="1:10" x14ac:dyDescent="0.35">
      <c r="A21" s="47">
        <v>23347</v>
      </c>
      <c r="B21" s="31" t="s">
        <v>55</v>
      </c>
      <c r="C21" s="31" t="s">
        <v>56</v>
      </c>
      <c r="D21" s="31" t="s">
        <v>33</v>
      </c>
      <c r="E21" s="31" t="s">
        <v>13</v>
      </c>
      <c r="F21" s="32">
        <v>41088</v>
      </c>
      <c r="G21" s="33">
        <f>VALUE(MONTH(F21))</f>
        <v>6</v>
      </c>
      <c r="H21" s="34">
        <v>147</v>
      </c>
      <c r="I21" s="35">
        <v>9</v>
      </c>
      <c r="J21" s="50">
        <f>I21*H21</f>
        <v>1323</v>
      </c>
    </row>
    <row r="22" spans="1:10" x14ac:dyDescent="0.35">
      <c r="A22" s="46">
        <v>23361</v>
      </c>
      <c r="B22" s="25" t="s">
        <v>57</v>
      </c>
      <c r="C22" s="25" t="s">
        <v>58</v>
      </c>
      <c r="D22" s="25" t="s">
        <v>52</v>
      </c>
      <c r="E22" s="25" t="s">
        <v>13</v>
      </c>
      <c r="F22" s="26">
        <v>40915</v>
      </c>
      <c r="G22" s="27">
        <f>VALUE(MONTH(F22))</f>
        <v>1</v>
      </c>
      <c r="H22" s="28">
        <v>184</v>
      </c>
      <c r="I22" s="29">
        <v>6.99</v>
      </c>
      <c r="J22" s="49">
        <f>I22*H22</f>
        <v>1286.1600000000001</v>
      </c>
    </row>
    <row r="23" spans="1:10" x14ac:dyDescent="0.35">
      <c r="A23" s="47">
        <v>23275</v>
      </c>
      <c r="B23" s="31" t="s">
        <v>59</v>
      </c>
      <c r="C23" s="31" t="s">
        <v>60</v>
      </c>
      <c r="D23" s="31" t="s">
        <v>33</v>
      </c>
      <c r="E23" s="31" t="s">
        <v>19</v>
      </c>
      <c r="F23" s="32">
        <v>40912</v>
      </c>
      <c r="G23" s="33">
        <f>VALUE(MONTH(F23))</f>
        <v>1</v>
      </c>
      <c r="H23" s="34">
        <v>141</v>
      </c>
      <c r="I23" s="35">
        <v>9</v>
      </c>
      <c r="J23" s="50">
        <f>I23*H23</f>
        <v>1269</v>
      </c>
    </row>
    <row r="24" spans="1:10" x14ac:dyDescent="0.35">
      <c r="A24" s="46">
        <v>23297</v>
      </c>
      <c r="B24" s="25" t="s">
        <v>61</v>
      </c>
      <c r="C24" s="25" t="s">
        <v>62</v>
      </c>
      <c r="D24" s="25" t="s">
        <v>33</v>
      </c>
      <c r="E24" s="25" t="s">
        <v>13</v>
      </c>
      <c r="F24" s="26">
        <v>41133</v>
      </c>
      <c r="G24" s="27">
        <f>VALUE(MONTH(F24))</f>
        <v>8</v>
      </c>
      <c r="H24" s="28">
        <v>135</v>
      </c>
      <c r="I24" s="29">
        <v>9</v>
      </c>
      <c r="J24" s="49">
        <f>I24*H24</f>
        <v>1215</v>
      </c>
    </row>
    <row r="25" spans="1:10" x14ac:dyDescent="0.35">
      <c r="A25" s="47">
        <v>23327</v>
      </c>
      <c r="B25" s="31" t="s">
        <v>63</v>
      </c>
      <c r="C25" s="31" t="s">
        <v>64</v>
      </c>
      <c r="D25" s="31" t="s">
        <v>65</v>
      </c>
      <c r="E25" s="31" t="s">
        <v>19</v>
      </c>
      <c r="F25" s="32">
        <v>40939</v>
      </c>
      <c r="G25" s="33">
        <f>VALUE(MONTH(F25))</f>
        <v>1</v>
      </c>
      <c r="H25" s="34">
        <v>176</v>
      </c>
      <c r="I25" s="35">
        <v>6.5</v>
      </c>
      <c r="J25" s="50">
        <f>I25*H25</f>
        <v>1144</v>
      </c>
    </row>
    <row r="26" spans="1:10" x14ac:dyDescent="0.35">
      <c r="A26" s="46">
        <v>23325</v>
      </c>
      <c r="B26" s="25" t="s">
        <v>66</v>
      </c>
      <c r="C26" s="25" t="s">
        <v>67</v>
      </c>
      <c r="D26" s="25" t="s">
        <v>68</v>
      </c>
      <c r="E26" s="25" t="s">
        <v>19</v>
      </c>
      <c r="F26" s="26">
        <v>41082</v>
      </c>
      <c r="G26" s="27">
        <f>VALUE(MONTH(F26))</f>
        <v>6</v>
      </c>
      <c r="H26" s="28">
        <v>184</v>
      </c>
      <c r="I26" s="29">
        <v>6</v>
      </c>
      <c r="J26" s="49">
        <f>I26*H26</f>
        <v>1104</v>
      </c>
    </row>
    <row r="27" spans="1:10" x14ac:dyDescent="0.35">
      <c r="A27" s="47">
        <v>23292</v>
      </c>
      <c r="B27" s="31" t="s">
        <v>69</v>
      </c>
      <c r="C27" s="31" t="s">
        <v>70</v>
      </c>
      <c r="D27" s="31" t="s">
        <v>12</v>
      </c>
      <c r="E27" s="31" t="s">
        <v>13</v>
      </c>
      <c r="F27" s="32">
        <v>40911</v>
      </c>
      <c r="G27" s="33">
        <f>VALUE(MONTH(F27))</f>
        <v>1</v>
      </c>
      <c r="H27" s="34">
        <v>73</v>
      </c>
      <c r="I27" s="35">
        <v>14.5</v>
      </c>
      <c r="J27" s="50">
        <f>I27*H27</f>
        <v>1058.5</v>
      </c>
    </row>
    <row r="28" spans="1:10" x14ac:dyDescent="0.35">
      <c r="A28" s="46">
        <v>23335</v>
      </c>
      <c r="B28" s="25" t="s">
        <v>71</v>
      </c>
      <c r="C28" s="25" t="s">
        <v>72</v>
      </c>
      <c r="D28" s="25" t="s">
        <v>33</v>
      </c>
      <c r="E28" s="25" t="s">
        <v>13</v>
      </c>
      <c r="F28" s="26">
        <v>41134</v>
      </c>
      <c r="G28" s="27">
        <f>VALUE(MONTH(F28))</f>
        <v>8</v>
      </c>
      <c r="H28" s="28">
        <v>116</v>
      </c>
      <c r="I28" s="29">
        <v>9</v>
      </c>
      <c r="J28" s="49">
        <f>I28*H28</f>
        <v>1044</v>
      </c>
    </row>
    <row r="29" spans="1:10" x14ac:dyDescent="0.35">
      <c r="A29" s="47">
        <v>23314</v>
      </c>
      <c r="B29" s="31" t="s">
        <v>73</v>
      </c>
      <c r="C29" s="31" t="s">
        <v>74</v>
      </c>
      <c r="D29" s="31" t="s">
        <v>30</v>
      </c>
      <c r="E29" s="31" t="s">
        <v>19</v>
      </c>
      <c r="F29" s="32">
        <v>41131</v>
      </c>
      <c r="G29" s="33">
        <f>VALUE(MONTH(F29))</f>
        <v>8</v>
      </c>
      <c r="H29" s="34">
        <v>95</v>
      </c>
      <c r="I29" s="35">
        <v>9.99</v>
      </c>
      <c r="J29" s="50">
        <f>I29*H29</f>
        <v>949.05000000000007</v>
      </c>
    </row>
    <row r="30" spans="1:10" x14ac:dyDescent="0.35">
      <c r="A30" s="46">
        <v>23329</v>
      </c>
      <c r="B30" s="25" t="s">
        <v>75</v>
      </c>
      <c r="C30" s="25" t="s">
        <v>76</v>
      </c>
      <c r="D30" s="25" t="s">
        <v>77</v>
      </c>
      <c r="E30" s="25" t="s">
        <v>19</v>
      </c>
      <c r="F30" s="26">
        <v>40931</v>
      </c>
      <c r="G30" s="27">
        <f>VALUE(MONTH(F30))</f>
        <v>1</v>
      </c>
      <c r="H30" s="28">
        <v>203</v>
      </c>
      <c r="I30" s="29">
        <v>4.5</v>
      </c>
      <c r="J30" s="49">
        <f>I30*H30</f>
        <v>913.5</v>
      </c>
    </row>
    <row r="31" spans="1:10" x14ac:dyDescent="0.35">
      <c r="A31" s="47">
        <v>23332</v>
      </c>
      <c r="B31" s="31" t="s">
        <v>78</v>
      </c>
      <c r="C31" s="31" t="s">
        <v>79</v>
      </c>
      <c r="D31" s="31" t="s">
        <v>77</v>
      </c>
      <c r="E31" s="31" t="s">
        <v>16</v>
      </c>
      <c r="F31" s="32">
        <v>40950</v>
      </c>
      <c r="G31" s="33">
        <f>VALUE(MONTH(F31))</f>
        <v>2</v>
      </c>
      <c r="H31" s="34">
        <v>203</v>
      </c>
      <c r="I31" s="35">
        <v>4.5</v>
      </c>
      <c r="J31" s="50">
        <f>I31*H31</f>
        <v>913.5</v>
      </c>
    </row>
    <row r="32" spans="1:10" x14ac:dyDescent="0.35">
      <c r="A32" s="46">
        <v>23317</v>
      </c>
      <c r="B32" s="25" t="s">
        <v>80</v>
      </c>
      <c r="C32" s="25" t="s">
        <v>81</v>
      </c>
      <c r="D32" s="25" t="s">
        <v>77</v>
      </c>
      <c r="E32" s="25" t="s">
        <v>16</v>
      </c>
      <c r="F32" s="26">
        <v>40956</v>
      </c>
      <c r="G32" s="27">
        <f>VALUE(MONTH(F32))</f>
        <v>2</v>
      </c>
      <c r="H32" s="28">
        <v>196</v>
      </c>
      <c r="I32" s="29">
        <v>4.5</v>
      </c>
      <c r="J32" s="49">
        <f>I32*H32</f>
        <v>882</v>
      </c>
    </row>
    <row r="33" spans="1:10" x14ac:dyDescent="0.35">
      <c r="A33" s="47">
        <v>23271</v>
      </c>
      <c r="B33" s="31" t="s">
        <v>82</v>
      </c>
      <c r="C33" s="31" t="s">
        <v>83</v>
      </c>
      <c r="D33" s="31" t="s">
        <v>52</v>
      </c>
      <c r="E33" s="31" t="s">
        <v>19</v>
      </c>
      <c r="F33" s="32">
        <v>40966</v>
      </c>
      <c r="G33" s="33">
        <f>VALUE(MONTH(F33))</f>
        <v>2</v>
      </c>
      <c r="H33" s="34">
        <v>125</v>
      </c>
      <c r="I33" s="35">
        <v>6.99</v>
      </c>
      <c r="J33" s="50">
        <f>I33*H33</f>
        <v>873.75</v>
      </c>
    </row>
    <row r="34" spans="1:10" x14ac:dyDescent="0.35">
      <c r="A34" s="46">
        <v>23287</v>
      </c>
      <c r="B34" s="25" t="s">
        <v>84</v>
      </c>
      <c r="C34" s="25" t="s">
        <v>85</v>
      </c>
      <c r="D34" s="25" t="s">
        <v>77</v>
      </c>
      <c r="E34" s="25" t="s">
        <v>19</v>
      </c>
      <c r="F34" s="26">
        <v>41077</v>
      </c>
      <c r="G34" s="27">
        <f>VALUE(MONTH(F34))</f>
        <v>6</v>
      </c>
      <c r="H34" s="28">
        <v>189</v>
      </c>
      <c r="I34" s="29">
        <v>4.5</v>
      </c>
      <c r="J34" s="49">
        <f>I34*H34</f>
        <v>850.5</v>
      </c>
    </row>
    <row r="35" spans="1:10" x14ac:dyDescent="0.35">
      <c r="A35" s="47">
        <v>23349</v>
      </c>
      <c r="B35" s="31" t="s">
        <v>86</v>
      </c>
      <c r="C35" s="31" t="s">
        <v>87</v>
      </c>
      <c r="D35" s="31" t="s">
        <v>65</v>
      </c>
      <c r="E35" s="31" t="s">
        <v>19</v>
      </c>
      <c r="F35" s="32">
        <v>41112</v>
      </c>
      <c r="G35" s="33">
        <f>VALUE(MONTH(F35))</f>
        <v>7</v>
      </c>
      <c r="H35" s="34">
        <v>126</v>
      </c>
      <c r="I35" s="35">
        <v>6.5</v>
      </c>
      <c r="J35" s="50">
        <f>I35*H35</f>
        <v>819</v>
      </c>
    </row>
    <row r="36" spans="1:10" x14ac:dyDescent="0.35">
      <c r="A36" s="46">
        <v>23309</v>
      </c>
      <c r="B36" s="25" t="s">
        <v>88</v>
      </c>
      <c r="C36" s="25" t="s">
        <v>89</v>
      </c>
      <c r="D36" s="25" t="s">
        <v>90</v>
      </c>
      <c r="E36" s="25" t="s">
        <v>13</v>
      </c>
      <c r="F36" s="26">
        <v>41083</v>
      </c>
      <c r="G36" s="27">
        <f>VALUE(MONTH(F36))</f>
        <v>6</v>
      </c>
      <c r="H36" s="28">
        <v>201</v>
      </c>
      <c r="I36" s="29">
        <v>3.99</v>
      </c>
      <c r="J36" s="49">
        <f>I36*H36</f>
        <v>801.99</v>
      </c>
    </row>
    <row r="37" spans="1:10" x14ac:dyDescent="0.35">
      <c r="A37" s="47">
        <v>23338</v>
      </c>
      <c r="B37" s="31" t="s">
        <v>91</v>
      </c>
      <c r="C37" s="31" t="s">
        <v>92</v>
      </c>
      <c r="D37" s="31" t="s">
        <v>77</v>
      </c>
      <c r="E37" s="31" t="s">
        <v>19</v>
      </c>
      <c r="F37" s="32">
        <v>41133</v>
      </c>
      <c r="G37" s="33">
        <f>VALUE(MONTH(F37))</f>
        <v>8</v>
      </c>
      <c r="H37" s="34">
        <v>178</v>
      </c>
      <c r="I37" s="35">
        <v>4.5</v>
      </c>
      <c r="J37" s="50">
        <f>I37*H37</f>
        <v>801</v>
      </c>
    </row>
    <row r="38" spans="1:10" x14ac:dyDescent="0.35">
      <c r="A38" s="46">
        <v>23301</v>
      </c>
      <c r="B38" s="25" t="s">
        <v>93</v>
      </c>
      <c r="C38" s="25" t="s">
        <v>94</v>
      </c>
      <c r="D38" s="25" t="s">
        <v>52</v>
      </c>
      <c r="E38" s="25" t="s">
        <v>19</v>
      </c>
      <c r="F38" s="26">
        <v>41109</v>
      </c>
      <c r="G38" s="27">
        <f>VALUE(MONTH(F38))</f>
        <v>7</v>
      </c>
      <c r="H38" s="28">
        <v>108</v>
      </c>
      <c r="I38" s="29">
        <v>6.99</v>
      </c>
      <c r="J38" s="49">
        <f>I38*H38</f>
        <v>754.92000000000007</v>
      </c>
    </row>
    <row r="39" spans="1:10" x14ac:dyDescent="0.35">
      <c r="A39" s="47">
        <v>23320</v>
      </c>
      <c r="B39" s="31" t="s">
        <v>95</v>
      </c>
      <c r="C39" s="31" t="s">
        <v>96</v>
      </c>
      <c r="D39" s="31" t="s">
        <v>68</v>
      </c>
      <c r="E39" s="31" t="s">
        <v>16</v>
      </c>
      <c r="F39" s="32">
        <v>41075</v>
      </c>
      <c r="G39" s="33">
        <f>VALUE(MONTH(F39))</f>
        <v>6</v>
      </c>
      <c r="H39" s="34">
        <v>125</v>
      </c>
      <c r="I39" s="35">
        <v>6</v>
      </c>
      <c r="J39" s="50">
        <f>I39*H39</f>
        <v>750</v>
      </c>
    </row>
    <row r="40" spans="1:10" x14ac:dyDescent="0.35">
      <c r="A40" s="46">
        <v>23365</v>
      </c>
      <c r="B40" s="25" t="s">
        <v>97</v>
      </c>
      <c r="C40" s="25" t="s">
        <v>98</v>
      </c>
      <c r="D40" s="25" t="s">
        <v>99</v>
      </c>
      <c r="E40" s="25" t="s">
        <v>19</v>
      </c>
      <c r="F40" s="26">
        <v>41099</v>
      </c>
      <c r="G40" s="27">
        <f>VALUE(MONTH(F40))</f>
        <v>7</v>
      </c>
      <c r="H40" s="28">
        <v>165</v>
      </c>
      <c r="I40" s="29">
        <v>4.5</v>
      </c>
      <c r="J40" s="49">
        <f>I40*H40</f>
        <v>742.5</v>
      </c>
    </row>
    <row r="41" spans="1:10" x14ac:dyDescent="0.35">
      <c r="A41" s="47">
        <v>23302</v>
      </c>
      <c r="B41" s="31" t="s">
        <v>100</v>
      </c>
      <c r="C41" s="31" t="s">
        <v>74</v>
      </c>
      <c r="D41" s="31" t="s">
        <v>101</v>
      </c>
      <c r="E41" s="31" t="s">
        <v>13</v>
      </c>
      <c r="F41" s="32">
        <v>41117</v>
      </c>
      <c r="G41" s="33">
        <f>VALUE(MONTH(F41))</f>
        <v>7</v>
      </c>
      <c r="H41" s="34">
        <v>105</v>
      </c>
      <c r="I41" s="35">
        <v>6.5</v>
      </c>
      <c r="J41" s="50">
        <f>I41*H41</f>
        <v>682.5</v>
      </c>
    </row>
    <row r="42" spans="1:10" x14ac:dyDescent="0.35">
      <c r="A42" s="46">
        <v>23266</v>
      </c>
      <c r="B42" s="25" t="s">
        <v>102</v>
      </c>
      <c r="C42" s="25" t="s">
        <v>103</v>
      </c>
      <c r="D42" s="25" t="s">
        <v>90</v>
      </c>
      <c r="E42" s="25" t="s">
        <v>13</v>
      </c>
      <c r="F42" s="26">
        <v>41132</v>
      </c>
      <c r="G42" s="27">
        <f>VALUE(MONTH(F42))</f>
        <v>8</v>
      </c>
      <c r="H42" s="28">
        <v>170</v>
      </c>
      <c r="I42" s="29">
        <v>3.99</v>
      </c>
      <c r="J42" s="49">
        <f>I42*H42</f>
        <v>678.30000000000007</v>
      </c>
    </row>
    <row r="43" spans="1:10" x14ac:dyDescent="0.35">
      <c r="A43" s="47">
        <v>23307</v>
      </c>
      <c r="B43" s="31" t="s">
        <v>104</v>
      </c>
      <c r="C43" s="31" t="s">
        <v>105</v>
      </c>
      <c r="D43" s="31" t="s">
        <v>68</v>
      </c>
      <c r="E43" s="31" t="s">
        <v>19</v>
      </c>
      <c r="F43" s="32">
        <v>41094</v>
      </c>
      <c r="G43" s="33">
        <f>VALUE(MONTH(F43))</f>
        <v>7</v>
      </c>
      <c r="H43" s="34">
        <v>113</v>
      </c>
      <c r="I43" s="35">
        <v>6</v>
      </c>
      <c r="J43" s="50">
        <f>I43*H43</f>
        <v>678</v>
      </c>
    </row>
    <row r="44" spans="1:10" x14ac:dyDescent="0.35">
      <c r="A44" s="46">
        <v>23368</v>
      </c>
      <c r="B44" s="25" t="s">
        <v>106</v>
      </c>
      <c r="C44" s="25" t="s">
        <v>107</v>
      </c>
      <c r="D44" s="25" t="s">
        <v>99</v>
      </c>
      <c r="E44" s="25" t="s">
        <v>19</v>
      </c>
      <c r="F44" s="26">
        <v>41146</v>
      </c>
      <c r="G44" s="27">
        <f>VALUE(MONTH(F44))</f>
        <v>8</v>
      </c>
      <c r="H44" s="28">
        <v>150</v>
      </c>
      <c r="I44" s="29">
        <v>4.5</v>
      </c>
      <c r="J44" s="49">
        <f>I44*H44</f>
        <v>675</v>
      </c>
    </row>
    <row r="45" spans="1:10" x14ac:dyDescent="0.35">
      <c r="A45" s="47">
        <v>23286</v>
      </c>
      <c r="B45" s="31" t="s">
        <v>108</v>
      </c>
      <c r="C45" s="31" t="s">
        <v>109</v>
      </c>
      <c r="D45" s="31" t="s">
        <v>33</v>
      </c>
      <c r="E45" s="31" t="s">
        <v>13</v>
      </c>
      <c r="F45" s="32">
        <v>41129</v>
      </c>
      <c r="G45" s="33">
        <f>VALUE(MONTH(F45))</f>
        <v>8</v>
      </c>
      <c r="H45" s="34">
        <v>69</v>
      </c>
      <c r="I45" s="35">
        <v>9</v>
      </c>
      <c r="J45" s="50">
        <f>I45*H45</f>
        <v>621</v>
      </c>
    </row>
    <row r="46" spans="1:10" x14ac:dyDescent="0.35">
      <c r="A46" s="46">
        <v>23373</v>
      </c>
      <c r="B46" s="25" t="s">
        <v>110</v>
      </c>
      <c r="C46" s="25" t="s">
        <v>111</v>
      </c>
      <c r="D46" s="25" t="s">
        <v>65</v>
      </c>
      <c r="E46" s="25" t="s">
        <v>13</v>
      </c>
      <c r="F46" s="26">
        <v>41114</v>
      </c>
      <c r="G46" s="27">
        <f>VALUE(MONTH(F46))</f>
        <v>7</v>
      </c>
      <c r="H46" s="28">
        <v>95</v>
      </c>
      <c r="I46" s="29">
        <v>6.5</v>
      </c>
      <c r="J46" s="49">
        <f>I46*H46</f>
        <v>617.5</v>
      </c>
    </row>
    <row r="47" spans="1:10" x14ac:dyDescent="0.35">
      <c r="A47" s="47">
        <v>23380</v>
      </c>
      <c r="B47" s="31" t="s">
        <v>112</v>
      </c>
      <c r="C47" s="31" t="s">
        <v>113</v>
      </c>
      <c r="D47" s="31" t="s">
        <v>101</v>
      </c>
      <c r="E47" s="31" t="s">
        <v>19</v>
      </c>
      <c r="F47" s="32">
        <v>41112</v>
      </c>
      <c r="G47" s="33">
        <f>VALUE(MONTH(F47))</f>
        <v>7</v>
      </c>
      <c r="H47" s="34">
        <v>95</v>
      </c>
      <c r="I47" s="35">
        <v>6.5</v>
      </c>
      <c r="J47" s="50">
        <f>I47*H47</f>
        <v>617.5</v>
      </c>
    </row>
    <row r="48" spans="1:10" x14ac:dyDescent="0.35">
      <c r="A48" s="46">
        <v>23284</v>
      </c>
      <c r="B48" s="25" t="s">
        <v>114</v>
      </c>
      <c r="C48" s="25" t="s">
        <v>115</v>
      </c>
      <c r="D48" s="25" t="s">
        <v>77</v>
      </c>
      <c r="E48" s="25" t="s">
        <v>19</v>
      </c>
      <c r="F48" s="26">
        <v>41077</v>
      </c>
      <c r="G48" s="27">
        <f>VALUE(MONTH(F48))</f>
        <v>6</v>
      </c>
      <c r="H48" s="28">
        <v>135</v>
      </c>
      <c r="I48" s="29">
        <v>4.5</v>
      </c>
      <c r="J48" s="49">
        <f>I48*H48</f>
        <v>607.5</v>
      </c>
    </row>
    <row r="49" spans="1:10" x14ac:dyDescent="0.35">
      <c r="A49" s="47">
        <v>23306</v>
      </c>
      <c r="B49" s="31" t="s">
        <v>116</v>
      </c>
      <c r="C49" s="31" t="s">
        <v>117</v>
      </c>
      <c r="D49" s="31" t="s">
        <v>65</v>
      </c>
      <c r="E49" s="31" t="s">
        <v>13</v>
      </c>
      <c r="F49" s="32">
        <v>41068</v>
      </c>
      <c r="G49" s="33" t="s">
        <v>233</v>
      </c>
      <c r="H49" s="34">
        <v>93</v>
      </c>
      <c r="I49" s="35">
        <v>6.5</v>
      </c>
      <c r="J49" s="50">
        <f>I49*H49</f>
        <v>604.5</v>
      </c>
    </row>
    <row r="50" spans="1:10" x14ac:dyDescent="0.35">
      <c r="A50" s="46">
        <v>23281</v>
      </c>
      <c r="B50" s="25" t="s">
        <v>118</v>
      </c>
      <c r="C50" s="25" t="s">
        <v>119</v>
      </c>
      <c r="D50" s="25" t="s">
        <v>99</v>
      </c>
      <c r="E50" s="25" t="s">
        <v>19</v>
      </c>
      <c r="F50" s="26">
        <v>41103</v>
      </c>
      <c r="G50" s="27">
        <f>VALUE(MONTH(F50))</f>
        <v>7</v>
      </c>
      <c r="H50" s="28">
        <v>134</v>
      </c>
      <c r="I50" s="29">
        <v>4.5</v>
      </c>
      <c r="J50" s="49">
        <f>I50*H50</f>
        <v>603</v>
      </c>
    </row>
    <row r="51" spans="1:10" x14ac:dyDescent="0.35">
      <c r="A51" s="47">
        <v>23351</v>
      </c>
      <c r="B51" s="31" t="s">
        <v>120</v>
      </c>
      <c r="C51" s="31" t="s">
        <v>121</v>
      </c>
      <c r="D51" s="31" t="s">
        <v>90</v>
      </c>
      <c r="E51" s="31" t="s">
        <v>13</v>
      </c>
      <c r="F51" s="32">
        <v>41124</v>
      </c>
      <c r="G51" s="33">
        <f>VALUE(MONTH(F51))</f>
        <v>8</v>
      </c>
      <c r="H51" s="34">
        <v>151</v>
      </c>
      <c r="I51" s="35">
        <v>3.99</v>
      </c>
      <c r="J51" s="50">
        <f>I51*H51</f>
        <v>602.49</v>
      </c>
    </row>
    <row r="52" spans="1:10" x14ac:dyDescent="0.35">
      <c r="A52" s="46">
        <v>23282</v>
      </c>
      <c r="B52" s="25" t="s">
        <v>122</v>
      </c>
      <c r="C52" s="25" t="s">
        <v>123</v>
      </c>
      <c r="D52" s="25" t="s">
        <v>68</v>
      </c>
      <c r="E52" s="25" t="s">
        <v>19</v>
      </c>
      <c r="F52" s="26">
        <v>41142</v>
      </c>
      <c r="G52" s="27">
        <f>VALUE(MONTH(F52))</f>
        <v>8</v>
      </c>
      <c r="H52" s="28">
        <v>100</v>
      </c>
      <c r="I52" s="29">
        <v>6</v>
      </c>
      <c r="J52" s="49">
        <f>I52*H52</f>
        <v>600</v>
      </c>
    </row>
    <row r="53" spans="1:10" x14ac:dyDescent="0.35">
      <c r="A53" s="47">
        <v>23376</v>
      </c>
      <c r="B53" s="31" t="s">
        <v>124</v>
      </c>
      <c r="C53" s="31" t="s">
        <v>125</v>
      </c>
      <c r="D53" s="31" t="s">
        <v>52</v>
      </c>
      <c r="E53" s="31" t="s">
        <v>16</v>
      </c>
      <c r="F53" s="32">
        <v>41113</v>
      </c>
      <c r="G53" s="33">
        <f>VALUE(MONTH(F53))</f>
        <v>7</v>
      </c>
      <c r="H53" s="34">
        <v>85</v>
      </c>
      <c r="I53" s="35">
        <v>6.99</v>
      </c>
      <c r="J53" s="50">
        <f>I53*H53</f>
        <v>594.15</v>
      </c>
    </row>
    <row r="54" spans="1:10" x14ac:dyDescent="0.35">
      <c r="A54" s="46">
        <v>23354</v>
      </c>
      <c r="B54" s="25" t="s">
        <v>126</v>
      </c>
      <c r="C54" s="25" t="s">
        <v>127</v>
      </c>
      <c r="D54" s="25" t="s">
        <v>52</v>
      </c>
      <c r="E54" s="25" t="s">
        <v>13</v>
      </c>
      <c r="F54" s="26">
        <v>41124</v>
      </c>
      <c r="G54" s="27">
        <f>VALUE(MONTH(F54))</f>
        <v>8</v>
      </c>
      <c r="H54" s="28">
        <v>84</v>
      </c>
      <c r="I54" s="29">
        <v>6.99</v>
      </c>
      <c r="J54" s="49">
        <f>I54*H54</f>
        <v>587.16</v>
      </c>
    </row>
    <row r="55" spans="1:10" x14ac:dyDescent="0.35">
      <c r="A55" s="47">
        <v>23337</v>
      </c>
      <c r="B55" s="31" t="s">
        <v>128</v>
      </c>
      <c r="C55" s="31" t="s">
        <v>129</v>
      </c>
      <c r="D55" s="31" t="s">
        <v>52</v>
      </c>
      <c r="E55" s="31" t="s">
        <v>19</v>
      </c>
      <c r="F55" s="32">
        <v>41097</v>
      </c>
      <c r="G55" s="33">
        <f>VALUE(MONTH(F55))</f>
        <v>7</v>
      </c>
      <c r="H55" s="34">
        <v>82</v>
      </c>
      <c r="I55" s="35">
        <v>6.99</v>
      </c>
      <c r="J55" s="50">
        <f>I55*H55</f>
        <v>573.18000000000006</v>
      </c>
    </row>
    <row r="56" spans="1:10" x14ac:dyDescent="0.35">
      <c r="A56" s="46">
        <v>23326</v>
      </c>
      <c r="B56" s="25" t="s">
        <v>130</v>
      </c>
      <c r="C56" s="25" t="s">
        <v>131</v>
      </c>
      <c r="D56" s="25" t="s">
        <v>99</v>
      </c>
      <c r="E56" s="25" t="s">
        <v>19</v>
      </c>
      <c r="F56" s="26">
        <v>41142</v>
      </c>
      <c r="G56" s="27">
        <f>VALUE(MONTH(F56))</f>
        <v>8</v>
      </c>
      <c r="H56" s="28">
        <v>126</v>
      </c>
      <c r="I56" s="29">
        <v>4.5</v>
      </c>
      <c r="J56" s="49">
        <f>I56*H56</f>
        <v>567</v>
      </c>
    </row>
    <row r="57" spans="1:10" x14ac:dyDescent="0.35">
      <c r="A57" s="47">
        <v>23316</v>
      </c>
      <c r="B57" s="31" t="s">
        <v>132</v>
      </c>
      <c r="C57" s="31" t="s">
        <v>133</v>
      </c>
      <c r="D57" s="31" t="s">
        <v>90</v>
      </c>
      <c r="E57" s="31" t="s">
        <v>19</v>
      </c>
      <c r="F57" s="32">
        <v>41061</v>
      </c>
      <c r="G57" s="33">
        <f>VALUE(MONTH(F57))</f>
        <v>6</v>
      </c>
      <c r="H57" s="34">
        <v>137</v>
      </c>
      <c r="I57" s="35">
        <v>3.99</v>
      </c>
      <c r="J57" s="50">
        <f>I57*H57</f>
        <v>546.63</v>
      </c>
    </row>
    <row r="58" spans="1:10" x14ac:dyDescent="0.35">
      <c r="A58" s="46">
        <v>23362</v>
      </c>
      <c r="B58" s="25" t="s">
        <v>134</v>
      </c>
      <c r="C58" s="25" t="s">
        <v>135</v>
      </c>
      <c r="D58" s="25" t="s">
        <v>136</v>
      </c>
      <c r="E58" s="25" t="s">
        <v>13</v>
      </c>
      <c r="F58" s="26">
        <v>41139</v>
      </c>
      <c r="G58" s="27">
        <f>VALUE(MONTH(F58))</f>
        <v>8</v>
      </c>
      <c r="H58" s="28">
        <v>179</v>
      </c>
      <c r="I58" s="29">
        <v>3</v>
      </c>
      <c r="J58" s="49">
        <f>I58*H58</f>
        <v>537</v>
      </c>
    </row>
    <row r="59" spans="1:10" x14ac:dyDescent="0.35">
      <c r="A59" s="47">
        <v>23296</v>
      </c>
      <c r="B59" s="31" t="s">
        <v>137</v>
      </c>
      <c r="C59" s="31" t="s">
        <v>138</v>
      </c>
      <c r="D59" s="31" t="s">
        <v>12</v>
      </c>
      <c r="E59" s="31" t="s">
        <v>19</v>
      </c>
      <c r="F59" s="32">
        <v>41068</v>
      </c>
      <c r="G59" s="33">
        <f>VALUE(MONTH(F59))</f>
        <v>6</v>
      </c>
      <c r="H59" s="34">
        <v>37</v>
      </c>
      <c r="I59" s="35">
        <v>14.5</v>
      </c>
      <c r="J59" s="50">
        <f>I59*H59</f>
        <v>536.5</v>
      </c>
    </row>
    <row r="60" spans="1:10" x14ac:dyDescent="0.35">
      <c r="A60" s="46">
        <v>23352</v>
      </c>
      <c r="B60" s="25" t="s">
        <v>139</v>
      </c>
      <c r="C60" s="25" t="s">
        <v>140</v>
      </c>
      <c r="D60" s="25" t="s">
        <v>68</v>
      </c>
      <c r="E60" s="25" t="s">
        <v>13</v>
      </c>
      <c r="F60" s="26">
        <v>41097</v>
      </c>
      <c r="G60" s="27">
        <f>VALUE(MONTH(F60))</f>
        <v>7</v>
      </c>
      <c r="H60" s="28">
        <v>89</v>
      </c>
      <c r="I60" s="29">
        <v>6</v>
      </c>
      <c r="J60" s="49">
        <f>I60*H60</f>
        <v>534</v>
      </c>
    </row>
    <row r="61" spans="1:10" x14ac:dyDescent="0.35">
      <c r="A61" s="47">
        <v>23304</v>
      </c>
      <c r="B61" s="31" t="s">
        <v>141</v>
      </c>
      <c r="C61" s="31" t="s">
        <v>142</v>
      </c>
      <c r="D61" s="31" t="s">
        <v>90</v>
      </c>
      <c r="E61" s="31" t="s">
        <v>19</v>
      </c>
      <c r="F61" s="32">
        <v>41061</v>
      </c>
      <c r="G61" s="33">
        <f>VALUE(MONTH(F61))</f>
        <v>6</v>
      </c>
      <c r="H61" s="34">
        <v>131</v>
      </c>
      <c r="I61" s="35">
        <v>3.99</v>
      </c>
      <c r="J61" s="50">
        <f>I61*H61</f>
        <v>522.69000000000005</v>
      </c>
    </row>
    <row r="62" spans="1:10" x14ac:dyDescent="0.35">
      <c r="A62" s="46">
        <v>23369</v>
      </c>
      <c r="B62" s="25" t="s">
        <v>143</v>
      </c>
      <c r="C62" s="25" t="s">
        <v>144</v>
      </c>
      <c r="D62" s="25" t="s">
        <v>101</v>
      </c>
      <c r="E62" s="25" t="s">
        <v>19</v>
      </c>
      <c r="F62" s="26">
        <v>41092</v>
      </c>
      <c r="G62" s="27">
        <f>VALUE(MONTH(F62))</f>
        <v>7</v>
      </c>
      <c r="H62" s="28">
        <v>77</v>
      </c>
      <c r="I62" s="29">
        <v>6.5</v>
      </c>
      <c r="J62" s="49">
        <f>I62*H62</f>
        <v>500.5</v>
      </c>
    </row>
    <row r="63" spans="1:10" x14ac:dyDescent="0.35">
      <c r="A63" s="47">
        <v>23268</v>
      </c>
      <c r="B63" s="31" t="s">
        <v>145</v>
      </c>
      <c r="C63" s="31" t="s">
        <v>146</v>
      </c>
      <c r="D63" s="31" t="s">
        <v>68</v>
      </c>
      <c r="E63" s="31" t="s">
        <v>13</v>
      </c>
      <c r="F63" s="32">
        <v>41102</v>
      </c>
      <c r="G63" s="33">
        <f>VALUE(MONTH(F63))</f>
        <v>7</v>
      </c>
      <c r="H63" s="34">
        <v>82</v>
      </c>
      <c r="I63" s="35">
        <v>6</v>
      </c>
      <c r="J63" s="50">
        <f>I63*H63</f>
        <v>492</v>
      </c>
    </row>
    <row r="64" spans="1:10" x14ac:dyDescent="0.35">
      <c r="A64" s="46">
        <v>23315</v>
      </c>
      <c r="B64" s="25" t="s">
        <v>147</v>
      </c>
      <c r="C64" s="25" t="s">
        <v>29</v>
      </c>
      <c r="D64" s="25" t="s">
        <v>77</v>
      </c>
      <c r="E64" s="25" t="s">
        <v>19</v>
      </c>
      <c r="F64" s="26">
        <v>41102</v>
      </c>
      <c r="G64" s="27">
        <f>VALUE(MONTH(F64))</f>
        <v>7</v>
      </c>
      <c r="H64" s="28">
        <v>109</v>
      </c>
      <c r="I64" s="29">
        <v>4.5</v>
      </c>
      <c r="J64" s="49">
        <f>I64*H64</f>
        <v>490.5</v>
      </c>
    </row>
    <row r="65" spans="1:10" x14ac:dyDescent="0.35">
      <c r="A65" s="47">
        <v>23342</v>
      </c>
      <c r="B65" s="31" t="s">
        <v>148</v>
      </c>
      <c r="C65" s="31" t="s">
        <v>149</v>
      </c>
      <c r="D65" s="31" t="s">
        <v>90</v>
      </c>
      <c r="E65" s="31" t="s">
        <v>13</v>
      </c>
      <c r="F65" s="32">
        <v>41088</v>
      </c>
      <c r="G65" s="33">
        <f>VALUE(MONTH(F65))</f>
        <v>6</v>
      </c>
      <c r="H65" s="34">
        <v>122</v>
      </c>
      <c r="I65" s="35">
        <v>3.99</v>
      </c>
      <c r="J65" s="50">
        <f>I65*H65</f>
        <v>486.78000000000003</v>
      </c>
    </row>
    <row r="66" spans="1:10" x14ac:dyDescent="0.35">
      <c r="A66" s="46">
        <v>23333</v>
      </c>
      <c r="B66" s="25" t="s">
        <v>150</v>
      </c>
      <c r="C66" s="25" t="s">
        <v>81</v>
      </c>
      <c r="D66" s="25" t="s">
        <v>77</v>
      </c>
      <c r="E66" s="25" t="s">
        <v>13</v>
      </c>
      <c r="F66" s="26">
        <v>41126</v>
      </c>
      <c r="G66" s="27">
        <f>VALUE(MONTH(F66))</f>
        <v>8</v>
      </c>
      <c r="H66" s="28">
        <v>106</v>
      </c>
      <c r="I66" s="29">
        <v>4.5</v>
      </c>
      <c r="J66" s="49">
        <f>I66*H66</f>
        <v>477</v>
      </c>
    </row>
    <row r="67" spans="1:10" x14ac:dyDescent="0.35">
      <c r="A67" s="47">
        <v>23263</v>
      </c>
      <c r="B67" s="31" t="s">
        <v>151</v>
      </c>
      <c r="C67" s="31" t="s">
        <v>74</v>
      </c>
      <c r="D67" s="31" t="s">
        <v>65</v>
      </c>
      <c r="E67" s="31" t="s">
        <v>13</v>
      </c>
      <c r="F67" s="32">
        <v>41096</v>
      </c>
      <c r="G67" s="33">
        <f>VALUE(MONTH(F67))</f>
        <v>7</v>
      </c>
      <c r="H67" s="34">
        <v>73</v>
      </c>
      <c r="I67" s="35">
        <v>6.5</v>
      </c>
      <c r="J67" s="50">
        <f>I67*H67</f>
        <v>474.5</v>
      </c>
    </row>
    <row r="68" spans="1:10" x14ac:dyDescent="0.35">
      <c r="A68" s="46">
        <v>23270</v>
      </c>
      <c r="B68" s="25" t="s">
        <v>152</v>
      </c>
      <c r="C68" s="25" t="s">
        <v>153</v>
      </c>
      <c r="D68" s="25" t="s">
        <v>52</v>
      </c>
      <c r="E68" s="25" t="s">
        <v>19</v>
      </c>
      <c r="F68" s="26">
        <v>41067</v>
      </c>
      <c r="G68" s="27">
        <f>VALUE(MONTH(F68))</f>
        <v>6</v>
      </c>
      <c r="H68" s="28">
        <v>67</v>
      </c>
      <c r="I68" s="29">
        <v>6.99</v>
      </c>
      <c r="J68" s="49">
        <f>I68*H68</f>
        <v>468.33000000000004</v>
      </c>
    </row>
    <row r="69" spans="1:10" x14ac:dyDescent="0.35">
      <c r="A69" s="47">
        <v>23272</v>
      </c>
      <c r="B69" s="31" t="s">
        <v>154</v>
      </c>
      <c r="C69" s="31" t="s">
        <v>155</v>
      </c>
      <c r="D69" s="31" t="s">
        <v>65</v>
      </c>
      <c r="E69" s="31" t="s">
        <v>16</v>
      </c>
      <c r="F69" s="32">
        <v>41121</v>
      </c>
      <c r="G69" s="33">
        <f>VALUE(MONTH(F69))</f>
        <v>7</v>
      </c>
      <c r="H69" s="34">
        <v>71</v>
      </c>
      <c r="I69" s="35">
        <v>6.5</v>
      </c>
      <c r="J69" s="50">
        <f>I69*H69</f>
        <v>461.5</v>
      </c>
    </row>
    <row r="70" spans="1:10" x14ac:dyDescent="0.35">
      <c r="A70" s="46">
        <v>23274</v>
      </c>
      <c r="B70" s="25" t="s">
        <v>156</v>
      </c>
      <c r="C70" s="25" t="s">
        <v>157</v>
      </c>
      <c r="D70" s="25" t="s">
        <v>136</v>
      </c>
      <c r="E70" s="25" t="s">
        <v>19</v>
      </c>
      <c r="F70" s="26">
        <v>41143</v>
      </c>
      <c r="G70" s="27">
        <f>VALUE(MONTH(F70))</f>
        <v>8</v>
      </c>
      <c r="H70" s="28">
        <v>153</v>
      </c>
      <c r="I70" s="29">
        <v>3</v>
      </c>
      <c r="J70" s="49">
        <f>I70*H70</f>
        <v>459</v>
      </c>
    </row>
    <row r="71" spans="1:10" x14ac:dyDescent="0.35">
      <c r="A71" s="47">
        <v>23364</v>
      </c>
      <c r="B71" s="31" t="s">
        <v>158</v>
      </c>
      <c r="C71" s="31" t="s">
        <v>159</v>
      </c>
      <c r="D71" s="31" t="s">
        <v>33</v>
      </c>
      <c r="E71" s="31" t="s">
        <v>13</v>
      </c>
      <c r="F71" s="32">
        <v>41093</v>
      </c>
      <c r="G71" s="33">
        <f>VALUE(MONTH(F71))</f>
        <v>7</v>
      </c>
      <c r="H71" s="34">
        <v>47</v>
      </c>
      <c r="I71" s="35">
        <v>9</v>
      </c>
      <c r="J71" s="50">
        <f>I71*H71</f>
        <v>423</v>
      </c>
    </row>
    <row r="72" spans="1:10" x14ac:dyDescent="0.35">
      <c r="A72" s="46">
        <v>23276</v>
      </c>
      <c r="B72" s="25" t="s">
        <v>160</v>
      </c>
      <c r="C72" s="25" t="s">
        <v>161</v>
      </c>
      <c r="D72" s="25" t="s">
        <v>101</v>
      </c>
      <c r="E72" s="25" t="s">
        <v>13</v>
      </c>
      <c r="F72" s="26">
        <v>41122</v>
      </c>
      <c r="G72" s="27">
        <f>VALUE(MONTH(F72))</f>
        <v>8</v>
      </c>
      <c r="H72" s="28">
        <v>65</v>
      </c>
      <c r="I72" s="29">
        <v>6.5</v>
      </c>
      <c r="J72" s="49">
        <f>I72*H72</f>
        <v>422.5</v>
      </c>
    </row>
    <row r="73" spans="1:10" x14ac:dyDescent="0.35">
      <c r="A73" s="47">
        <v>23343</v>
      </c>
      <c r="B73" s="31" t="s">
        <v>162</v>
      </c>
      <c r="C73" s="31" t="s">
        <v>111</v>
      </c>
      <c r="D73" s="31" t="s">
        <v>30</v>
      </c>
      <c r="E73" s="31" t="s">
        <v>13</v>
      </c>
      <c r="F73" s="32">
        <v>41144</v>
      </c>
      <c r="G73" s="33">
        <f>VALUE(MONTH(F73))</f>
        <v>8</v>
      </c>
      <c r="H73" s="34">
        <v>42</v>
      </c>
      <c r="I73" s="35">
        <v>9.99</v>
      </c>
      <c r="J73" s="50">
        <f>I73*H73</f>
        <v>419.58</v>
      </c>
    </row>
    <row r="74" spans="1:10" x14ac:dyDescent="0.35">
      <c r="A74" s="46">
        <v>23344</v>
      </c>
      <c r="B74" s="25" t="s">
        <v>163</v>
      </c>
      <c r="C74" s="25" t="s">
        <v>164</v>
      </c>
      <c r="D74" s="25" t="s">
        <v>65</v>
      </c>
      <c r="E74" s="25" t="s">
        <v>13</v>
      </c>
      <c r="F74" s="26">
        <v>41265</v>
      </c>
      <c r="G74" s="27">
        <f>VALUE(MONTH(F74))</f>
        <v>12</v>
      </c>
      <c r="H74" s="28">
        <v>64</v>
      </c>
      <c r="I74" s="29">
        <v>6.5</v>
      </c>
      <c r="J74" s="49">
        <f>I74*H74</f>
        <v>416</v>
      </c>
    </row>
    <row r="75" spans="1:10" x14ac:dyDescent="0.35">
      <c r="A75" s="47">
        <v>23299</v>
      </c>
      <c r="B75" s="31" t="s">
        <v>165</v>
      </c>
      <c r="C75" s="31" t="s">
        <v>125</v>
      </c>
      <c r="D75" s="31" t="s">
        <v>90</v>
      </c>
      <c r="E75" s="31" t="s">
        <v>19</v>
      </c>
      <c r="F75" s="32">
        <v>41087</v>
      </c>
      <c r="G75" s="33">
        <f>VALUE(MONTH(F75))</f>
        <v>6</v>
      </c>
      <c r="H75" s="34">
        <v>104</v>
      </c>
      <c r="I75" s="35">
        <v>3.99</v>
      </c>
      <c r="J75" s="50">
        <f>I75*H75</f>
        <v>414.96000000000004</v>
      </c>
    </row>
    <row r="76" spans="1:10" x14ac:dyDescent="0.35">
      <c r="A76" s="46">
        <v>23310</v>
      </c>
      <c r="B76" s="25" t="s">
        <v>166</v>
      </c>
      <c r="C76" s="25" t="s">
        <v>21</v>
      </c>
      <c r="D76" s="25" t="s">
        <v>30</v>
      </c>
      <c r="E76" s="25" t="s">
        <v>13</v>
      </c>
      <c r="F76" s="26">
        <v>41077</v>
      </c>
      <c r="G76" s="27">
        <f>VALUE(MONTH(F76))</f>
        <v>6</v>
      </c>
      <c r="H76" s="28">
        <v>41</v>
      </c>
      <c r="I76" s="29">
        <v>9.99</v>
      </c>
      <c r="J76" s="49">
        <f>I76*H76</f>
        <v>409.59000000000003</v>
      </c>
    </row>
    <row r="77" spans="1:10" x14ac:dyDescent="0.35">
      <c r="A77" s="47">
        <v>23358</v>
      </c>
      <c r="B77" s="31" t="s">
        <v>167</v>
      </c>
      <c r="C77" s="31" t="s">
        <v>168</v>
      </c>
      <c r="D77" s="31" t="s">
        <v>30</v>
      </c>
      <c r="E77" s="31" t="s">
        <v>19</v>
      </c>
      <c r="F77" s="32">
        <v>41071</v>
      </c>
      <c r="G77" s="33">
        <f>VALUE(MONTH(F77))</f>
        <v>6</v>
      </c>
      <c r="H77" s="34">
        <v>41</v>
      </c>
      <c r="I77" s="35">
        <v>9.99</v>
      </c>
      <c r="J77" s="50">
        <f>I77*H77</f>
        <v>409.59000000000003</v>
      </c>
    </row>
    <row r="78" spans="1:10" x14ac:dyDescent="0.35">
      <c r="A78" s="46">
        <v>23323</v>
      </c>
      <c r="B78" s="25" t="s">
        <v>169</v>
      </c>
      <c r="C78" s="25" t="s">
        <v>170</v>
      </c>
      <c r="D78" s="25" t="s">
        <v>136</v>
      </c>
      <c r="E78" s="25" t="s">
        <v>13</v>
      </c>
      <c r="F78" s="26">
        <v>41272</v>
      </c>
      <c r="G78" s="27">
        <f>VALUE(MONTH(F78))</f>
        <v>12</v>
      </c>
      <c r="H78" s="28">
        <v>135</v>
      </c>
      <c r="I78" s="29">
        <v>3</v>
      </c>
      <c r="J78" s="49">
        <f>I78*H78</f>
        <v>405</v>
      </c>
    </row>
    <row r="79" spans="1:10" x14ac:dyDescent="0.35">
      <c r="A79" s="47">
        <v>23267</v>
      </c>
      <c r="B79" s="31" t="s">
        <v>171</v>
      </c>
      <c r="C79" s="31" t="s">
        <v>172</v>
      </c>
      <c r="D79" s="31" t="s">
        <v>136</v>
      </c>
      <c r="E79" s="31" t="s">
        <v>13</v>
      </c>
      <c r="F79" s="32">
        <v>41101</v>
      </c>
      <c r="G79" s="33">
        <f>VALUE(MONTH(F79))</f>
        <v>7</v>
      </c>
      <c r="H79" s="34">
        <v>129</v>
      </c>
      <c r="I79" s="35">
        <v>3</v>
      </c>
      <c r="J79" s="50">
        <f>I79*H79</f>
        <v>387</v>
      </c>
    </row>
    <row r="80" spans="1:10" x14ac:dyDescent="0.35">
      <c r="A80" s="46">
        <v>23340</v>
      </c>
      <c r="B80" s="25" t="s">
        <v>173</v>
      </c>
      <c r="C80" s="25" t="s">
        <v>174</v>
      </c>
      <c r="D80" s="25" t="s">
        <v>99</v>
      </c>
      <c r="E80" s="25" t="s">
        <v>13</v>
      </c>
      <c r="F80" s="26">
        <v>41095</v>
      </c>
      <c r="G80" s="27">
        <f>VALUE(MONTH(F80))</f>
        <v>7</v>
      </c>
      <c r="H80" s="28">
        <v>85</v>
      </c>
      <c r="I80" s="29">
        <v>4.5</v>
      </c>
      <c r="J80" s="49">
        <f>I80*H80</f>
        <v>382.5</v>
      </c>
    </row>
    <row r="81" spans="1:10" x14ac:dyDescent="0.35">
      <c r="A81" s="47">
        <v>23269</v>
      </c>
      <c r="B81" s="31" t="s">
        <v>175</v>
      </c>
      <c r="C81" s="31" t="s">
        <v>157</v>
      </c>
      <c r="D81" s="31" t="s">
        <v>136</v>
      </c>
      <c r="E81" s="31" t="s">
        <v>13</v>
      </c>
      <c r="F81" s="32">
        <v>41063</v>
      </c>
      <c r="G81" s="33">
        <f>VALUE(MONTH(F81))</f>
        <v>6</v>
      </c>
      <c r="H81" s="34">
        <v>116</v>
      </c>
      <c r="I81" s="35">
        <v>3</v>
      </c>
      <c r="J81" s="50">
        <f>I81*H81</f>
        <v>348</v>
      </c>
    </row>
    <row r="82" spans="1:10" x14ac:dyDescent="0.35">
      <c r="A82" s="46">
        <v>23308</v>
      </c>
      <c r="B82" s="25" t="s">
        <v>176</v>
      </c>
      <c r="C82" s="25" t="s">
        <v>177</v>
      </c>
      <c r="D82" s="25" t="s">
        <v>136</v>
      </c>
      <c r="E82" s="25" t="s">
        <v>19</v>
      </c>
      <c r="F82" s="26">
        <v>41099</v>
      </c>
      <c r="G82" s="27">
        <f>VALUE(MONTH(F82))</f>
        <v>7</v>
      </c>
      <c r="H82" s="28">
        <v>112</v>
      </c>
      <c r="I82" s="29">
        <v>3</v>
      </c>
      <c r="J82" s="49">
        <f>I82*H82</f>
        <v>336</v>
      </c>
    </row>
    <row r="83" spans="1:10" x14ac:dyDescent="0.35">
      <c r="A83" s="47">
        <v>23356</v>
      </c>
      <c r="B83" s="31" t="s">
        <v>178</v>
      </c>
      <c r="C83" s="31" t="s">
        <v>179</v>
      </c>
      <c r="D83" s="31" t="s">
        <v>90</v>
      </c>
      <c r="E83" s="31" t="s">
        <v>13</v>
      </c>
      <c r="F83" s="32">
        <v>41081</v>
      </c>
      <c r="G83" s="33">
        <f>VALUE(MONTH(F83))</f>
        <v>6</v>
      </c>
      <c r="H83" s="34">
        <v>80</v>
      </c>
      <c r="I83" s="35">
        <v>3.99</v>
      </c>
      <c r="J83" s="50">
        <f>I83*H83</f>
        <v>319.20000000000005</v>
      </c>
    </row>
    <row r="84" spans="1:10" x14ac:dyDescent="0.35">
      <c r="A84" s="46">
        <v>23318</v>
      </c>
      <c r="B84" s="25" t="s">
        <v>180</v>
      </c>
      <c r="C84" s="25" t="s">
        <v>181</v>
      </c>
      <c r="D84" s="25" t="s">
        <v>65</v>
      </c>
      <c r="E84" s="25" t="s">
        <v>13</v>
      </c>
      <c r="F84" s="26">
        <v>41099</v>
      </c>
      <c r="G84" s="27">
        <f>VALUE(MONTH(F84))</f>
        <v>7</v>
      </c>
      <c r="H84" s="28">
        <v>48</v>
      </c>
      <c r="I84" s="29">
        <v>6.5</v>
      </c>
      <c r="J84" s="49">
        <f>I84*H84</f>
        <v>312</v>
      </c>
    </row>
    <row r="85" spans="1:10" x14ac:dyDescent="0.35">
      <c r="A85" s="47">
        <v>23357</v>
      </c>
      <c r="B85" s="31" t="s">
        <v>182</v>
      </c>
      <c r="C85" s="31" t="s">
        <v>138</v>
      </c>
      <c r="D85" s="31" t="s">
        <v>68</v>
      </c>
      <c r="E85" s="31" t="s">
        <v>19</v>
      </c>
      <c r="F85" s="32">
        <v>41107</v>
      </c>
      <c r="G85" s="33">
        <f>VALUE(MONTH(F85))</f>
        <v>7</v>
      </c>
      <c r="H85" s="34">
        <v>50</v>
      </c>
      <c r="I85" s="35">
        <v>6</v>
      </c>
      <c r="J85" s="50">
        <f>I85*H85</f>
        <v>300</v>
      </c>
    </row>
    <row r="86" spans="1:10" x14ac:dyDescent="0.35">
      <c r="A86" s="46">
        <v>23377</v>
      </c>
      <c r="B86" s="25" t="s">
        <v>183</v>
      </c>
      <c r="C86" s="25" t="s">
        <v>127</v>
      </c>
      <c r="D86" s="25" t="s">
        <v>101</v>
      </c>
      <c r="E86" s="25" t="s">
        <v>13</v>
      </c>
      <c r="F86" s="26">
        <v>41075</v>
      </c>
      <c r="G86" s="27">
        <f>VALUE(MONTH(F86))</f>
        <v>6</v>
      </c>
      <c r="H86" s="28">
        <v>43</v>
      </c>
      <c r="I86" s="29">
        <v>6.5</v>
      </c>
      <c r="J86" s="49">
        <f>I86*H86</f>
        <v>279.5</v>
      </c>
    </row>
    <row r="87" spans="1:10" x14ac:dyDescent="0.35">
      <c r="A87" s="47">
        <v>23311</v>
      </c>
      <c r="B87" s="31" t="s">
        <v>184</v>
      </c>
      <c r="C87" s="31" t="s">
        <v>185</v>
      </c>
      <c r="D87" s="31" t="s">
        <v>12</v>
      </c>
      <c r="E87" s="31" t="s">
        <v>19</v>
      </c>
      <c r="F87" s="32">
        <v>41072</v>
      </c>
      <c r="G87" s="33">
        <f>VALUE(MONTH(F87))</f>
        <v>6</v>
      </c>
      <c r="H87" s="34">
        <v>18</v>
      </c>
      <c r="I87" s="35">
        <v>14.5</v>
      </c>
      <c r="J87" s="50">
        <f>I87*H87</f>
        <v>261</v>
      </c>
    </row>
    <row r="88" spans="1:10" x14ac:dyDescent="0.35">
      <c r="A88" s="46">
        <v>23379</v>
      </c>
      <c r="B88" s="25" t="s">
        <v>186</v>
      </c>
      <c r="C88" s="25" t="s">
        <v>187</v>
      </c>
      <c r="D88" s="25" t="s">
        <v>90</v>
      </c>
      <c r="E88" s="25" t="s">
        <v>13</v>
      </c>
      <c r="F88" s="26">
        <v>41270</v>
      </c>
      <c r="G88" s="27">
        <f>VALUE(MONTH(F88))</f>
        <v>12</v>
      </c>
      <c r="H88" s="28">
        <v>65</v>
      </c>
      <c r="I88" s="29">
        <v>3.99</v>
      </c>
      <c r="J88" s="49">
        <f>I88*H88</f>
        <v>259.35000000000002</v>
      </c>
    </row>
    <row r="89" spans="1:10" x14ac:dyDescent="0.35">
      <c r="A89" s="47">
        <v>23360</v>
      </c>
      <c r="B89" s="31" t="s">
        <v>188</v>
      </c>
      <c r="C89" s="31" t="s">
        <v>172</v>
      </c>
      <c r="D89" s="31" t="s">
        <v>52</v>
      </c>
      <c r="E89" s="31" t="s">
        <v>13</v>
      </c>
      <c r="F89" s="32">
        <v>41073</v>
      </c>
      <c r="G89" s="33">
        <f>VALUE(MONTH(F89))</f>
        <v>6</v>
      </c>
      <c r="H89" s="34">
        <v>37</v>
      </c>
      <c r="I89" s="35">
        <v>6.99</v>
      </c>
      <c r="J89" s="50">
        <f>I89*H89</f>
        <v>258.63</v>
      </c>
    </row>
    <row r="90" spans="1:10" x14ac:dyDescent="0.35">
      <c r="A90" s="46">
        <v>23339</v>
      </c>
      <c r="B90" s="25" t="s">
        <v>189</v>
      </c>
      <c r="C90" s="25" t="s">
        <v>190</v>
      </c>
      <c r="D90" s="25" t="s">
        <v>68</v>
      </c>
      <c r="E90" s="25" t="s">
        <v>13</v>
      </c>
      <c r="F90" s="26">
        <v>41101</v>
      </c>
      <c r="G90" s="27">
        <f>VALUE(MONTH(F90))</f>
        <v>7</v>
      </c>
      <c r="H90" s="28">
        <v>41</v>
      </c>
      <c r="I90" s="29">
        <v>6</v>
      </c>
      <c r="J90" s="49">
        <f>I90*H90</f>
        <v>246</v>
      </c>
    </row>
    <row r="91" spans="1:10" x14ac:dyDescent="0.35">
      <c r="A91" s="47">
        <v>23341</v>
      </c>
      <c r="B91" s="31" t="s">
        <v>191</v>
      </c>
      <c r="C91" s="31" t="s">
        <v>192</v>
      </c>
      <c r="D91" s="31" t="s">
        <v>136</v>
      </c>
      <c r="E91" s="31" t="s">
        <v>19</v>
      </c>
      <c r="F91" s="32">
        <v>41026</v>
      </c>
      <c r="G91" s="33">
        <f>VALUE(MONTH(F91))</f>
        <v>4</v>
      </c>
      <c r="H91" s="34">
        <v>77</v>
      </c>
      <c r="I91" s="35">
        <v>3</v>
      </c>
      <c r="J91" s="50">
        <f>I91*H91</f>
        <v>231</v>
      </c>
    </row>
    <row r="92" spans="1:10" x14ac:dyDescent="0.35">
      <c r="A92" s="46">
        <v>23374</v>
      </c>
      <c r="B92" s="25" t="s">
        <v>193</v>
      </c>
      <c r="C92" s="25" t="s">
        <v>194</v>
      </c>
      <c r="D92" s="25" t="s">
        <v>90</v>
      </c>
      <c r="E92" s="25" t="s">
        <v>13</v>
      </c>
      <c r="F92" s="26">
        <v>41257</v>
      </c>
      <c r="G92" s="27">
        <f>VALUE(MONTH(F92))</f>
        <v>12</v>
      </c>
      <c r="H92" s="28">
        <v>57</v>
      </c>
      <c r="I92" s="29">
        <v>3.99</v>
      </c>
      <c r="J92" s="49">
        <f>I92*H92</f>
        <v>227.43</v>
      </c>
    </row>
    <row r="93" spans="1:10" x14ac:dyDescent="0.35">
      <c r="A93" s="47">
        <v>23273</v>
      </c>
      <c r="B93" s="31" t="s">
        <v>195</v>
      </c>
      <c r="C93" s="31" t="s">
        <v>196</v>
      </c>
      <c r="D93" s="31" t="s">
        <v>30</v>
      </c>
      <c r="E93" s="31" t="s">
        <v>13</v>
      </c>
      <c r="F93" s="32">
        <v>41256</v>
      </c>
      <c r="G93" s="33">
        <f>VALUE(MONTH(F93))</f>
        <v>12</v>
      </c>
      <c r="H93" s="34">
        <v>22</v>
      </c>
      <c r="I93" s="35">
        <v>9.99</v>
      </c>
      <c r="J93" s="50">
        <f>I93*H93</f>
        <v>219.78</v>
      </c>
    </row>
    <row r="94" spans="1:10" x14ac:dyDescent="0.35">
      <c r="A94" s="46">
        <v>23280</v>
      </c>
      <c r="B94" s="25" t="s">
        <v>197</v>
      </c>
      <c r="C94" s="25" t="s">
        <v>29</v>
      </c>
      <c r="D94" s="25" t="s">
        <v>52</v>
      </c>
      <c r="E94" s="25" t="s">
        <v>13</v>
      </c>
      <c r="F94" s="26">
        <v>41002</v>
      </c>
      <c r="G94" s="27">
        <f>VALUE(MONTH(F94))</f>
        <v>4</v>
      </c>
      <c r="H94" s="28">
        <v>30</v>
      </c>
      <c r="I94" s="29">
        <v>6.99</v>
      </c>
      <c r="J94" s="49">
        <f>I94*H94</f>
        <v>209.70000000000002</v>
      </c>
    </row>
    <row r="95" spans="1:10" x14ac:dyDescent="0.35">
      <c r="A95" s="47">
        <v>23370</v>
      </c>
      <c r="B95" s="31" t="s">
        <v>198</v>
      </c>
      <c r="C95" s="31" t="s">
        <v>67</v>
      </c>
      <c r="D95" s="31" t="s">
        <v>136</v>
      </c>
      <c r="E95" s="31" t="s">
        <v>19</v>
      </c>
      <c r="F95" s="32">
        <v>41028</v>
      </c>
      <c r="G95" s="33">
        <f>VALUE(MONTH(F95))</f>
        <v>4</v>
      </c>
      <c r="H95" s="34">
        <v>63</v>
      </c>
      <c r="I95" s="35">
        <v>3</v>
      </c>
      <c r="J95" s="50">
        <f>I95*H95</f>
        <v>189</v>
      </c>
    </row>
    <row r="96" spans="1:10" x14ac:dyDescent="0.35">
      <c r="A96" s="46">
        <v>23372</v>
      </c>
      <c r="B96" s="25" t="s">
        <v>199</v>
      </c>
      <c r="C96" s="25" t="s">
        <v>200</v>
      </c>
      <c r="D96" s="25" t="s">
        <v>101</v>
      </c>
      <c r="E96" s="25" t="s">
        <v>13</v>
      </c>
      <c r="F96" s="26">
        <v>41255</v>
      </c>
      <c r="G96" s="27">
        <f>VALUE(MONTH(F96))</f>
        <v>12</v>
      </c>
      <c r="H96" s="28">
        <v>22</v>
      </c>
      <c r="I96" s="29">
        <v>6.5</v>
      </c>
      <c r="J96" s="49">
        <f>I96*H96</f>
        <v>143</v>
      </c>
    </row>
    <row r="97" spans="1:10" x14ac:dyDescent="0.35">
      <c r="A97" s="47">
        <v>23265</v>
      </c>
      <c r="B97" s="31" t="s">
        <v>201</v>
      </c>
      <c r="C97" s="31" t="s">
        <v>202</v>
      </c>
      <c r="D97" s="31" t="s">
        <v>30</v>
      </c>
      <c r="E97" s="31" t="s">
        <v>19</v>
      </c>
      <c r="F97" s="32">
        <v>41248</v>
      </c>
      <c r="G97" s="33">
        <f>VALUE(MONTH(F97))</f>
        <v>12</v>
      </c>
      <c r="H97" s="34">
        <v>14</v>
      </c>
      <c r="I97" s="35">
        <v>9.99</v>
      </c>
      <c r="J97" s="50">
        <f>I97*H97</f>
        <v>139.86000000000001</v>
      </c>
    </row>
    <row r="98" spans="1:10" x14ac:dyDescent="0.35">
      <c r="A98" s="46">
        <v>23346</v>
      </c>
      <c r="B98" s="25" t="s">
        <v>203</v>
      </c>
      <c r="C98" s="25" t="s">
        <v>119</v>
      </c>
      <c r="D98" s="25" t="s">
        <v>30</v>
      </c>
      <c r="E98" s="25" t="s">
        <v>13</v>
      </c>
      <c r="F98" s="26">
        <v>41119</v>
      </c>
      <c r="G98" s="27">
        <f>VALUE(MONTH(F98))</f>
        <v>7</v>
      </c>
      <c r="H98" s="28">
        <v>13</v>
      </c>
      <c r="I98" s="29">
        <v>9.99</v>
      </c>
      <c r="J98" s="49">
        <f>I98*H98</f>
        <v>129.87</v>
      </c>
    </row>
    <row r="99" spans="1:10" x14ac:dyDescent="0.35">
      <c r="A99" s="47">
        <v>23312</v>
      </c>
      <c r="B99" s="31" t="s">
        <v>204</v>
      </c>
      <c r="C99" s="31" t="s">
        <v>205</v>
      </c>
      <c r="D99" s="31" t="s">
        <v>90</v>
      </c>
      <c r="E99" s="31" t="s">
        <v>13</v>
      </c>
      <c r="F99" s="32">
        <v>41096</v>
      </c>
      <c r="G99" s="33">
        <f>VALUE(MONTH(F99))</f>
        <v>7</v>
      </c>
      <c r="H99" s="34">
        <v>28</v>
      </c>
      <c r="I99" s="35">
        <v>3.99</v>
      </c>
      <c r="J99" s="50">
        <f>I99*H99</f>
        <v>111.72</v>
      </c>
    </row>
    <row r="100" spans="1:10" x14ac:dyDescent="0.35">
      <c r="A100" s="46">
        <v>23355</v>
      </c>
      <c r="B100" s="25" t="s">
        <v>206</v>
      </c>
      <c r="C100" s="25" t="s">
        <v>115</v>
      </c>
      <c r="D100" s="25" t="s">
        <v>77</v>
      </c>
      <c r="E100" s="25" t="s">
        <v>13</v>
      </c>
      <c r="F100" s="26">
        <v>41026</v>
      </c>
      <c r="G100" s="27">
        <f>VALUE(MONTH(F100))</f>
        <v>4</v>
      </c>
      <c r="H100" s="28">
        <v>16</v>
      </c>
      <c r="I100" s="29">
        <v>4.5</v>
      </c>
      <c r="J100" s="49">
        <f>I100*H100</f>
        <v>72</v>
      </c>
    </row>
    <row r="101" spans="1:10" x14ac:dyDescent="0.35">
      <c r="A101" s="47">
        <v>23322</v>
      </c>
      <c r="B101" s="31" t="s">
        <v>207</v>
      </c>
      <c r="C101" s="31" t="s">
        <v>79</v>
      </c>
      <c r="D101" s="31" t="s">
        <v>136</v>
      </c>
      <c r="E101" s="31" t="s">
        <v>19</v>
      </c>
      <c r="F101" s="32">
        <v>41009</v>
      </c>
      <c r="G101" s="33">
        <f>VALUE(MONTH(F101))</f>
        <v>4</v>
      </c>
      <c r="H101" s="34">
        <v>20</v>
      </c>
      <c r="I101" s="35">
        <v>3</v>
      </c>
      <c r="J101" s="50">
        <f>I101*H101</f>
        <v>60</v>
      </c>
    </row>
    <row r="102" spans="1:10" x14ac:dyDescent="0.35">
      <c r="A102" s="46">
        <v>23298</v>
      </c>
      <c r="B102" s="25" t="s">
        <v>208</v>
      </c>
      <c r="C102" s="25" t="s">
        <v>209</v>
      </c>
      <c r="D102" s="25" t="s">
        <v>77</v>
      </c>
      <c r="E102" s="25" t="s">
        <v>16</v>
      </c>
      <c r="F102" s="26">
        <v>41118</v>
      </c>
      <c r="G102" s="27">
        <f>VALUE(MONTH(F102))</f>
        <v>7</v>
      </c>
      <c r="H102" s="28">
        <v>12</v>
      </c>
      <c r="I102" s="29">
        <v>4.5</v>
      </c>
      <c r="J102" s="49">
        <f>I102*H102</f>
        <v>54</v>
      </c>
    </row>
    <row r="103" spans="1:10" x14ac:dyDescent="0.35">
      <c r="A103" s="47">
        <v>23367</v>
      </c>
      <c r="B103" s="31" t="s">
        <v>210</v>
      </c>
      <c r="C103" s="31" t="s">
        <v>211</v>
      </c>
      <c r="D103" s="31" t="s">
        <v>77</v>
      </c>
      <c r="E103" s="31" t="s">
        <v>19</v>
      </c>
      <c r="F103" s="32">
        <v>41023</v>
      </c>
      <c r="G103" s="33">
        <f>VALUE(MONTH(F103))</f>
        <v>4</v>
      </c>
      <c r="H103" s="34">
        <v>10</v>
      </c>
      <c r="I103" s="35">
        <v>4.5</v>
      </c>
      <c r="J103" s="50">
        <f>I103*H103</f>
        <v>45</v>
      </c>
    </row>
    <row r="104" spans="1:10" x14ac:dyDescent="0.35">
      <c r="A104" s="46">
        <v>23334</v>
      </c>
      <c r="B104" s="25" t="s">
        <v>212</v>
      </c>
      <c r="C104" s="25" t="s">
        <v>107</v>
      </c>
      <c r="D104" s="25" t="s">
        <v>136</v>
      </c>
      <c r="E104" s="25" t="s">
        <v>13</v>
      </c>
      <c r="F104" s="26">
        <v>41260</v>
      </c>
      <c r="G104" s="27">
        <f>VALUE(MONTH(F104))</f>
        <v>12</v>
      </c>
      <c r="H104" s="28">
        <v>14</v>
      </c>
      <c r="I104" s="29">
        <v>3</v>
      </c>
      <c r="J104" s="49">
        <f>I104*H104</f>
        <v>42</v>
      </c>
    </row>
    <row r="105" spans="1:10" x14ac:dyDescent="0.35">
      <c r="A105" s="47">
        <v>23285</v>
      </c>
      <c r="B105" s="31" t="s">
        <v>213</v>
      </c>
      <c r="C105" s="31" t="s">
        <v>127</v>
      </c>
      <c r="D105" s="31" t="s">
        <v>99</v>
      </c>
      <c r="E105" s="31" t="s">
        <v>19</v>
      </c>
      <c r="F105" s="32">
        <v>41114</v>
      </c>
      <c r="G105" s="33">
        <f>VALUE(MONTH(F105))</f>
        <v>7</v>
      </c>
      <c r="H105" s="34">
        <v>9</v>
      </c>
      <c r="I105" s="35">
        <v>4.5</v>
      </c>
      <c r="J105" s="50">
        <f>I105*H105</f>
        <v>40.5</v>
      </c>
    </row>
    <row r="106" spans="1:10" x14ac:dyDescent="0.35">
      <c r="A106" s="46">
        <v>23375</v>
      </c>
      <c r="B106" s="25" t="s">
        <v>214</v>
      </c>
      <c r="C106" s="25" t="s">
        <v>115</v>
      </c>
      <c r="D106" s="25" t="s">
        <v>52</v>
      </c>
      <c r="E106" s="25" t="s">
        <v>19</v>
      </c>
      <c r="F106" s="26">
        <v>41029</v>
      </c>
      <c r="G106" s="27">
        <f>VALUE(MONTH(F106))</f>
        <v>4</v>
      </c>
      <c r="H106" s="28">
        <v>5</v>
      </c>
      <c r="I106" s="29">
        <v>6.99</v>
      </c>
      <c r="J106" s="49">
        <f>I106*H106</f>
        <v>34.950000000000003</v>
      </c>
    </row>
    <row r="107" spans="1:10" x14ac:dyDescent="0.35">
      <c r="A107" s="47">
        <v>23336</v>
      </c>
      <c r="B107" s="31" t="s">
        <v>215</v>
      </c>
      <c r="C107" s="31" t="s">
        <v>216</v>
      </c>
      <c r="D107" s="31" t="s">
        <v>99</v>
      </c>
      <c r="E107" s="31" t="s">
        <v>19</v>
      </c>
      <c r="F107" s="32">
        <v>41091</v>
      </c>
      <c r="G107" s="33">
        <f>VALUE(MONTH(F107))</f>
        <v>7</v>
      </c>
      <c r="H107" s="34">
        <v>7</v>
      </c>
      <c r="I107" s="35">
        <v>4.5</v>
      </c>
      <c r="J107" s="50">
        <f>I107*H107</f>
        <v>31.5</v>
      </c>
    </row>
    <row r="108" spans="1:10" x14ac:dyDescent="0.35">
      <c r="A108" s="57">
        <v>23279</v>
      </c>
      <c r="B108" s="58" t="s">
        <v>217</v>
      </c>
      <c r="C108" s="58" t="s">
        <v>190</v>
      </c>
      <c r="D108" s="58" t="s">
        <v>136</v>
      </c>
      <c r="E108" s="58" t="s">
        <v>13</v>
      </c>
      <c r="F108" s="59">
        <v>41020</v>
      </c>
      <c r="G108" s="60">
        <f>VALUE(MONTH(F108))</f>
        <v>4</v>
      </c>
      <c r="H108" s="61">
        <v>10</v>
      </c>
      <c r="I108" s="62">
        <v>3</v>
      </c>
      <c r="J108" s="63">
        <f>I108*H108</f>
        <v>30</v>
      </c>
    </row>
  </sheetData>
  <conditionalFormatting sqref="A2:J108">
    <cfRule type="expression" dxfId="0" priority="1">
      <formula>MOD(ROW(A2),2)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66C78BB-6474-4279-81C0-89AB1620E4A5}">
  <ds:schemaRefs/>
</ds:datastoreItem>
</file>

<file path=customXml/itemProps2.xml><?xml version="1.0" encoding="utf-8"?>
<ds:datastoreItem xmlns:ds="http://schemas.openxmlformats.org/officeDocument/2006/customXml" ds:itemID="{B600874F-7038-4B7F-BB87-7D9D9F4CCB41}">
  <ds:schemaRefs/>
</ds:datastoreItem>
</file>

<file path=customXml/itemProps3.xml><?xml version="1.0" encoding="utf-8"?>
<ds:datastoreItem xmlns:ds="http://schemas.openxmlformats.org/officeDocument/2006/customXml" ds:itemID="{48C8EFFD-568C-48BE-9E50-929089D09A4E}">
  <ds:schemaRefs/>
</ds:datastoreItem>
</file>

<file path=customXml/itemProps4.xml><?xml version="1.0" encoding="utf-8"?>
<ds:datastoreItem xmlns:ds="http://schemas.openxmlformats.org/officeDocument/2006/customXml" ds:itemID="{BE7E9BF9-9044-4D3B-9EC2-86F821ADF6BD}">
  <ds:schemaRefs/>
</ds:datastoreItem>
</file>

<file path=customXml/itemProps5.xml><?xml version="1.0" encoding="utf-8"?>
<ds:datastoreItem xmlns:ds="http://schemas.openxmlformats.org/officeDocument/2006/customXml" ds:itemID="{9A4C93A0-0276-438E-81A3-14BC34DB341B}">
  <ds:schemaRefs/>
</ds:datastoreItem>
</file>

<file path=customXml/itemProps6.xml><?xml version="1.0" encoding="utf-8"?>
<ds:datastoreItem xmlns:ds="http://schemas.openxmlformats.org/officeDocument/2006/customXml" ds:itemID="{3BA6974D-12E5-421A-A192-006631EB034E}">
  <ds:schemaRefs/>
</ds:datastoreItem>
</file>

<file path=customXml/itemProps7.xml><?xml version="1.0" encoding="utf-8"?>
<ds:datastoreItem xmlns:ds="http://schemas.openxmlformats.org/officeDocument/2006/customXml" ds:itemID="{99FB60F9-AFDA-4C5E-A8EF-04E0C182088D}">
  <ds:schemaRefs/>
</ds:datastoreItem>
</file>

<file path=customXml/itemProps8.xml><?xml version="1.0" encoding="utf-8"?>
<ds:datastoreItem xmlns:ds="http://schemas.openxmlformats.org/officeDocument/2006/customXml" ds:itemID="{2F7F14BB-113D-40C7-9008-C550C5EC076E}">
  <ds:schemaRefs/>
</ds:datastoreItem>
</file>

<file path=customXml/itemProps9.xml><?xml version="1.0" encoding="utf-8"?>
<ds:datastoreItem xmlns:ds="http://schemas.openxmlformats.org/officeDocument/2006/customXml" ds:itemID="{1583AA0F-476A-43D2-9201-4F449D8B969A}">
  <ds:schemaRefs/>
</ds:datastoreItem>
</file>

<file path=customXml/itemProps10.xml><?xml version="1.0" encoding="utf-8"?>
<ds:datastoreItem xmlns:ds="http://schemas.openxmlformats.org/officeDocument/2006/customXml" ds:itemID="{EBAD08A0-4843-43B1-98C2-C8ABDDDC044E}">
  <ds:schemaRefs/>
</ds:datastoreItem>
</file>

<file path=customXml/itemProps11.xml><?xml version="1.0" encoding="utf-8"?>
<ds:datastoreItem xmlns:ds="http://schemas.openxmlformats.org/officeDocument/2006/customXml" ds:itemID="{4E9E903E-D99A-4AD3-B4DC-7EC6694EEA9D}">
  <ds:schemaRefs/>
</ds:datastoreItem>
</file>

<file path=customXml/itemProps12.xml><?xml version="1.0" encoding="utf-8"?>
<ds:datastoreItem xmlns:ds="http://schemas.openxmlformats.org/officeDocument/2006/customXml" ds:itemID="{4A361D8A-67A4-416D-BB5D-BA7326EA7357}">
  <ds:schemaRefs/>
</ds:datastoreItem>
</file>

<file path=customXml/itemProps13.xml><?xml version="1.0" encoding="utf-8"?>
<ds:datastoreItem xmlns:ds="http://schemas.openxmlformats.org/officeDocument/2006/customXml" ds:itemID="{EA0E2DB8-F5D7-47D7-99C1-9B989CA7B88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A123A21-7618-4E59-A079-67A907C957A5}">
  <ds:schemaRefs/>
</ds:datastoreItem>
</file>

<file path=customXml/itemProps15.xml><?xml version="1.0" encoding="utf-8"?>
<ds:datastoreItem xmlns:ds="http://schemas.openxmlformats.org/officeDocument/2006/customXml" ds:itemID="{B912487B-C003-469C-AABA-142676FAD348}">
  <ds:schemaRefs/>
</ds:datastoreItem>
</file>

<file path=customXml/itemProps16.xml><?xml version="1.0" encoding="utf-8"?>
<ds:datastoreItem xmlns:ds="http://schemas.openxmlformats.org/officeDocument/2006/customXml" ds:itemID="{4FAAAEA9-4D27-4C56-9D8A-244E7F5EAF17}">
  <ds:schemaRefs/>
</ds:datastoreItem>
</file>

<file path=customXml/itemProps17.xml><?xml version="1.0" encoding="utf-8"?>
<ds:datastoreItem xmlns:ds="http://schemas.openxmlformats.org/officeDocument/2006/customXml" ds:itemID="{BA5EFE16-F4AF-46BC-9E4A-EF430445D9BC}">
  <ds:schemaRefs/>
</ds:datastoreItem>
</file>

<file path=customXml/itemProps18.xml><?xml version="1.0" encoding="utf-8"?>
<ds:datastoreItem xmlns:ds="http://schemas.openxmlformats.org/officeDocument/2006/customXml" ds:itemID="{B1B184E7-5074-4A9F-99AC-24E2BDCB245C}">
  <ds:schemaRefs/>
</ds:datastoreItem>
</file>

<file path=customXml/itemProps19.xml><?xml version="1.0" encoding="utf-8"?>
<ds:datastoreItem xmlns:ds="http://schemas.openxmlformats.org/officeDocument/2006/customXml" ds:itemID="{BE95E215-987E-4CE4-970E-9FADCF82646E}">
  <ds:schemaRefs/>
</ds:datastoreItem>
</file>

<file path=customXml/itemProps20.xml><?xml version="1.0" encoding="utf-8"?>
<ds:datastoreItem xmlns:ds="http://schemas.openxmlformats.org/officeDocument/2006/customXml" ds:itemID="{9BDFD478-FDC2-4F07-8AD8-1EDC43513C6F}">
  <ds:schemaRefs/>
</ds:datastoreItem>
</file>

<file path=customXml/itemProps21.xml><?xml version="1.0" encoding="utf-8"?>
<ds:datastoreItem xmlns:ds="http://schemas.openxmlformats.org/officeDocument/2006/customXml" ds:itemID="{0EAD438E-53F4-488C-A5A3-4B5496B6E183}">
  <ds:schemaRefs/>
</ds:datastoreItem>
</file>

<file path=customXml/itemProps22.xml><?xml version="1.0" encoding="utf-8"?>
<ds:datastoreItem xmlns:ds="http://schemas.openxmlformats.org/officeDocument/2006/customXml" ds:itemID="{904C37F6-851E-43F5-94B1-CA81BEEDE349}">
  <ds:schemaRefs/>
</ds:datastoreItem>
</file>

<file path=customXml/itemProps23.xml><?xml version="1.0" encoding="utf-8"?>
<ds:datastoreItem xmlns:ds="http://schemas.openxmlformats.org/officeDocument/2006/customXml" ds:itemID="{2719A866-F922-4B15-B4CD-FD9096DDCDFC}">
  <ds:schemaRefs/>
</ds:datastoreItem>
</file>

<file path=customXml/itemProps24.xml><?xml version="1.0" encoding="utf-8"?>
<ds:datastoreItem xmlns:ds="http://schemas.openxmlformats.org/officeDocument/2006/customXml" ds:itemID="{5CC548D6-A823-46E3-B2BB-31ABF3D2ABA6}">
  <ds:schemaRefs/>
</ds:datastoreItem>
</file>

<file path=customXml/itemProps25.xml><?xml version="1.0" encoding="utf-8"?>
<ds:datastoreItem xmlns:ds="http://schemas.openxmlformats.org/officeDocument/2006/customXml" ds:itemID="{0FA901FD-8921-442D-955C-854C1ED3B8CB}">
  <ds:schemaRefs/>
</ds:datastoreItem>
</file>

<file path=customXml/itemProps26.xml><?xml version="1.0" encoding="utf-8"?>
<ds:datastoreItem xmlns:ds="http://schemas.openxmlformats.org/officeDocument/2006/customXml" ds:itemID="{83ED6A75-FF97-421B-A6B4-26D85E5F0F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VLookup</vt:lpstr>
      <vt:lpstr>Index-Match</vt:lpstr>
      <vt:lpstr>Pivot Table</vt:lpstr>
      <vt:lpstr>Modeling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Harrison</cp:lastModifiedBy>
  <dcterms:created xsi:type="dcterms:W3CDTF">2021-07-16T19:06:17Z</dcterms:created>
  <dcterms:modified xsi:type="dcterms:W3CDTF">2026-03-17T12:01:27Z</dcterms:modified>
</cp:coreProperties>
</file>